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ndre\Documents\Github\Airbnb\"/>
    </mc:Choice>
  </mc:AlternateContent>
  <xr:revisionPtr revIDLastSave="0" documentId="13_ncr:1_{DE43ADAE-174E-492C-9FCE-8D1437BAD153}" xr6:coauthVersionLast="47" xr6:coauthVersionMax="47" xr10:uidLastSave="{00000000-0000-0000-0000-000000000000}"/>
  <bookViews>
    <workbookView xWindow="-120" yWindow="-120" windowWidth="29040" windowHeight="15840" tabRatio="833" activeTab="4" xr2:uid="{00000000-000D-0000-FFFF-FFFF00000000}"/>
  </bookViews>
  <sheets>
    <sheet name="Nom" sheetId="3" r:id="rId1"/>
    <sheet name="Export" sheetId="1" r:id="rId2"/>
    <sheet name="Conv_export" sheetId="15" r:id="rId3"/>
    <sheet name="Listing" sheetId="6" r:id="rId4"/>
    <sheet name="Info" sheetId="139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139" l="1"/>
  <c r="A14" i="6" l="1"/>
  <c r="A3" i="6"/>
  <c r="A4" i="6"/>
  <c r="A5" i="6"/>
  <c r="A6" i="6"/>
  <c r="A7" i="6"/>
  <c r="A8" i="6"/>
  <c r="A9" i="6"/>
  <c r="A10" i="6"/>
  <c r="A11" i="6"/>
  <c r="A12" i="6"/>
  <c r="A13" i="6"/>
  <c r="A2" i="6"/>
  <c r="E15" i="139" l="1"/>
  <c r="C3" i="139" l="1"/>
  <c r="C15" i="139" l="1"/>
  <c r="G15" i="139" s="1"/>
  <c r="C27" i="6" l="1"/>
  <c r="D26" i="6" s="1"/>
  <c r="C28" i="6"/>
  <c r="D27" i="6" s="1"/>
  <c r="C29" i="6"/>
  <c r="D28" i="6" s="1"/>
  <c r="C30" i="6"/>
  <c r="D29" i="6" s="1"/>
  <c r="C31" i="6"/>
  <c r="D30" i="6" s="1"/>
  <c r="C32" i="6"/>
  <c r="D31" i="6" s="1"/>
  <c r="C33" i="6"/>
  <c r="D32" i="6" s="1"/>
  <c r="C34" i="6"/>
  <c r="D33" i="6" s="1"/>
  <c r="C35" i="6"/>
  <c r="D34" i="6" s="1"/>
  <c r="C36" i="6"/>
  <c r="D35" i="6" s="1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23" i="6" l="1"/>
  <c r="D22" i="6" s="1"/>
  <c r="C11" i="6"/>
  <c r="D10" i="6" s="1"/>
  <c r="C5" i="6"/>
  <c r="D4" i="6" s="1"/>
  <c r="C10" i="6"/>
  <c r="D9" i="6" s="1"/>
  <c r="C16" i="6"/>
  <c r="D15" i="6" s="1"/>
  <c r="C21" i="6"/>
  <c r="D20" i="6" s="1"/>
  <c r="C26" i="6"/>
  <c r="D25" i="6" s="1"/>
  <c r="C6" i="6"/>
  <c r="D5" i="6" s="1"/>
  <c r="C12" i="6"/>
  <c r="D11" i="6" s="1"/>
  <c r="C17" i="6"/>
  <c r="D16" i="6" s="1"/>
  <c r="C22" i="6"/>
  <c r="D21" i="6" s="1"/>
  <c r="C15" i="6"/>
  <c r="D14" i="6" s="1"/>
  <c r="C2" i="6"/>
  <c r="C8" i="6"/>
  <c r="D7" i="6" s="1"/>
  <c r="C13" i="6"/>
  <c r="D12" i="6" s="1"/>
  <c r="C18" i="6"/>
  <c r="D17" i="6" s="1"/>
  <c r="C24" i="6"/>
  <c r="D23" i="6" s="1"/>
  <c r="C3" i="6"/>
  <c r="D2" i="6" s="1"/>
  <c r="C19" i="6"/>
  <c r="D18" i="6" s="1"/>
  <c r="C4" i="6"/>
  <c r="D3" i="6" s="1"/>
  <c r="C9" i="6"/>
  <c r="D8" i="6" s="1"/>
  <c r="C14" i="6"/>
  <c r="D13" i="6" s="1"/>
  <c r="C20" i="6"/>
  <c r="D19" i="6" s="1"/>
  <c r="C25" i="6"/>
  <c r="D24" i="6" s="1"/>
  <c r="C7" i="6"/>
  <c r="D6" i="6" s="1"/>
  <c r="A9" i="139" l="1"/>
  <c r="A10" i="139"/>
  <c r="A11" i="139"/>
  <c r="A12" i="139"/>
  <c r="A13" i="139"/>
  <c r="A14" i="139"/>
  <c r="A15" i="139"/>
  <c r="A15" i="6"/>
  <c r="A16" i="139" s="1"/>
  <c r="A16" i="6"/>
  <c r="A17" i="139" s="1"/>
  <c r="A17" i="6"/>
  <c r="A18" i="139" s="1"/>
  <c r="A18" i="6"/>
  <c r="A19" i="139" s="1"/>
  <c r="A19" i="6"/>
  <c r="A20" i="139" s="1"/>
  <c r="A20" i="6"/>
  <c r="A21" i="139" s="1"/>
  <c r="A21" i="6"/>
  <c r="A22" i="139" s="1"/>
  <c r="A22" i="6"/>
  <c r="A23" i="139" s="1"/>
  <c r="A23" i="6"/>
  <c r="A24" i="139" s="1"/>
  <c r="A24" i="6"/>
  <c r="A25" i="139" s="1"/>
  <c r="A25" i="6"/>
  <c r="A26" i="139" s="1"/>
  <c r="A26" i="6"/>
  <c r="A27" i="139" s="1"/>
  <c r="A27" i="6"/>
  <c r="A28" i="139" s="1"/>
  <c r="A28" i="6"/>
  <c r="A29" i="139" s="1"/>
  <c r="A29" i="6"/>
  <c r="A30" i="139" s="1"/>
  <c r="A30" i="6"/>
  <c r="A31" i="139" s="1"/>
  <c r="A31" i="6"/>
  <c r="A32" i="139" s="1"/>
  <c r="A32" i="6"/>
  <c r="A33" i="139" s="1"/>
  <c r="A33" i="6"/>
  <c r="A34" i="139" s="1"/>
  <c r="A34" i="6"/>
  <c r="A35" i="139" s="1"/>
  <c r="A35" i="6"/>
  <c r="A36" i="139" s="1"/>
  <c r="A36" i="6"/>
  <c r="A37" i="139" s="1"/>
  <c r="A37" i="6"/>
  <c r="A38" i="139" s="1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4" i="139"/>
  <c r="A5" i="139"/>
  <c r="A6" i="139"/>
  <c r="A7" i="139"/>
  <c r="A8" i="139"/>
  <c r="A3" i="139"/>
</calcChain>
</file>

<file path=xl/sharedStrings.xml><?xml version="1.0" encoding="utf-8"?>
<sst xmlns="http://schemas.openxmlformats.org/spreadsheetml/2006/main" count="367" uniqueCount="166">
  <si>
    <t>Listing</t>
  </si>
  <si>
    <t>Nom</t>
  </si>
  <si>
    <t>Transfer to •••••0801 (EUR)</t>
  </si>
  <si>
    <t>EUR</t>
  </si>
  <si>
    <t>Start Date</t>
  </si>
  <si>
    <t>Nights</t>
  </si>
  <si>
    <t>Guest</t>
  </si>
  <si>
    <t>Details</t>
  </si>
  <si>
    <t>Reference</t>
  </si>
  <si>
    <t>Currency</t>
  </si>
  <si>
    <t>Remboursements</t>
  </si>
  <si>
    <t>Clients</t>
  </si>
  <si>
    <t>Date</t>
  </si>
  <si>
    <t>Mois</t>
  </si>
  <si>
    <t>Année</t>
  </si>
  <si>
    <t>CA</t>
  </si>
  <si>
    <t>CA Réel</t>
  </si>
  <si>
    <t>290.16</t>
  </si>
  <si>
    <t>529.24</t>
  </si>
  <si>
    <t>Honoraires (%)</t>
  </si>
  <si>
    <t>Date,Type,Confirmation Code,Start Date,Nights,Guest,Listing,Details,Reference,Currency,Amount,Paid Out,Host Fee,Cleaning Fee</t>
  </si>
  <si>
    <t>9/30/2020,Payout,,,,,,Transfer to •••••0801 (EUR),,EUR,,159.06,,</t>
  </si>
  <si>
    <t>9/30/2020,Reservation,GS4G4SGDG4,9/29/2020,2,Guest_1,Logement_1,,,EUR,159.06,,5.94,35.00</t>
  </si>
  <si>
    <t>9/27/2020,Payout,,,,,,Transfer to •••••0801 (EUR),,EUR,,1023.77,,</t>
  </si>
  <si>
    <t>9/27/2020,Reservation,ZET55ZTEZ,9/26/2020,9,Guest_2,Logement_2,,,EUR,1023.77,,38.23,45.00</t>
  </si>
  <si>
    <t>9/26/2020,Payout,,,,,,Transfer to •••••0801 (EUR),,EUR,,471.77,,</t>
  </si>
  <si>
    <t>9/25/2020,Resolution Adjustment,,,,,,Resolution adjustment for resolution 8549546,,EUR,-28.97,,,</t>
  </si>
  <si>
    <t>9/26/2020,Reservation,GZ8ZFZGZ9,9/25/2020,3,Guest_3,Logement_3,,,EUR,248.90,,9.30,35.00</t>
  </si>
  <si>
    <t>9/26/2020,Reservation,FZGZ897GZ4G,9/25/2020,3,Guest_4,Logement_4,,,EUR,251.84,,9.41,40.00</t>
  </si>
  <si>
    <t>9/24/2020,Payout,,,,,,Transfer to •••••0801 (EUR),,EUR,,559.60,,</t>
  </si>
  <si>
    <t>9/24/2020,Reservation,GZGD45ZGG,9/23/2020,4,Guest_5,Logement_5,,,EUR,315.23,,11.77,29.00</t>
  </si>
  <si>
    <t>9/24/2020,Reservation,GGSDFGTJ8TKL5,9/23/2020,3,Guest_6,Logement_1,,,EUR,244.37,,9.13,35.00</t>
  </si>
  <si>
    <t>9/23/2020,Payout,,,,,,Transfer to •••••0801 (EUR),,EUR,,281.49,,</t>
  </si>
  <si>
    <t>9/23/2020,Reservation,POIY5J45TGHGK,9/22/2020,4,Guest_7,Logement_6,,,EUR,281.49,,10.51,40.00</t>
  </si>
  <si>
    <t>9/22/2020,Payout,,,,,,Transfer to •••••0801 (EUR),,EUR,,1154.27,,</t>
  </si>
  <si>
    <t>9/19/2020,Resolution Adjustment,,,,,,Resolution adjustment for resolution 4343435,,EUR,-30.00,,,</t>
  </si>
  <si>
    <t>9/22/2020,Reservation,JGHE87AHDFH,9/21/2020,11,Guest_8,Logement_7,,,EUR,914.35,,34.15,39.00</t>
  </si>
  <si>
    <t>9/22/2020,Reservation,QGFQE4Q455QG,9/21/2020,4,Guest_9,Logement_8,,,EUR,269.92,,10.08,40.00</t>
  </si>
  <si>
    <t>9/19/2020,Payout,,,,,,Transfer to •••••0801 (EUR),,EUR,,696.03,,</t>
  </si>
  <si>
    <t>9/19/2020,Reservation,QSGFQ464QS,9/18/2020,3,Guest_10,Logement_3,,,EUR,302.70,,11.30,35.00</t>
  </si>
  <si>
    <t>9/19/2020,Reservation,GF65QH4FQ65H4Q,9/18/2020,2,Guest_11,Logement_9,,,EUR,182.20,,6.80,29.00</t>
  </si>
  <si>
    <t>9/19/2020,Reservation,GS465SQ4G65SQD,9/18/2020,2,Guest_7,Logement_7,,,EUR,211.13,,7.87,39.00</t>
  </si>
  <si>
    <t>9/18/2020,Payout,,,,,,Transfer to •••••0801 (EUR),,EUR,,290.16,,</t>
  </si>
  <si>
    <t>9/18/2020,Reservation,GSQ54G4,9/17/2020,4,Guest_8,Logement_1,,,EUR,290.16,,10.84,35.00</t>
  </si>
  <si>
    <t>9/17/2020,Payout,,,,,,Transfer to •••••0801 (EUR),,EUR,,356.68,,</t>
  </si>
  <si>
    <t>9/17/2020,Reservation,SQDG465QS,9/16/2020,6,Guest_11,Logement_10,,,EUR,356.68,,13.32,40.00</t>
  </si>
  <si>
    <t>9/17/2020,Payout,,,,,,Transfer to •••••0801 (EUR),,EUR,,187.98,,</t>
  </si>
  <si>
    <t>9/17/2020,Reservation,SD4FH56SD4H,9/16/2020,2,Guest_3,Logement_3,,,EUR,187.98,,7.02,35.00</t>
  </si>
  <si>
    <t>9/16/2020,Payout,,,,,,Transfer to •••••0801 (EUR),,EUR,,869.53,,</t>
  </si>
  <si>
    <t>9/16/2020,Reservation,SDFH454DSH6,9/15/2020,6,Guest_8,Logement_5,,,EUR,493.57,,18.43,29.00</t>
  </si>
  <si>
    <t>9/16/2020,Reservation,SDFH4564DH,9/15/2020,5,Guest_7,Logement_8,,,EUR,375.96,,14.04,40.00</t>
  </si>
  <si>
    <t>9/15/2020,Payout,,,,,,Transfer to •••••0801 (EUR),,EUR,,808.80,,</t>
  </si>
  <si>
    <t>9/15/2020,Reservation,SDH6DSH65SD,9/14/2020,6,Guest_1,Logement_6,,,EUR,382.71,,14.29,40.00</t>
  </si>
  <si>
    <t>9/15/2020,Reservation,HMFYC8PT9M,9/14/2020,6,Guest_11,Logement_4,,,EUR,426.09,,15.91,40.00</t>
  </si>
  <si>
    <t>9/13/2020,Payout,,,,,,Transfer to •••••0801 (EUR),,EUR,,529.24,,</t>
  </si>
  <si>
    <t>9/13/2020,Reservation,SD5FH6DSHF65,9/12/2020,6,Guest_7,Logement_7,,,EUR,529.24,,19.76,39.00</t>
  </si>
  <si>
    <t>9/13/2020,Payout,,,,,,Transfer to •••••0801 (EUR),,EUR,,293.73,,</t>
  </si>
  <si>
    <t>9/13/2020,Reservation,SDH5DH5D,9/12/2020,3,Guest_3,Logement_3,,,EUR,293.73,,10.97,35.00</t>
  </si>
  <si>
    <t>9/13/2020,Payout,,,,,,Transfer to •••••0801 (EUR),,EUR,,517.18,,</t>
  </si>
  <si>
    <t>9/12/2020,Reservation,H5D6SFH465DS,9/11/2020,2,Guest_8,Logement_9,,,EUR,162.92,,6.08,29.00</t>
  </si>
  <si>
    <t>9/12/2020,Reservation,6SDH54D65S4H35SD,9/11/2020,5,Guest_11,Logement_1,,,EUR,354.26,,13.24,35.00</t>
  </si>
  <si>
    <t>9/11/2020,Payout,,,,,,Transfer to •••••0801 (EUR),,EUR,,342.22,,</t>
  </si>
  <si>
    <t>9/11/2020,Reservation,5SDH6DS5HSD,9/10/2020,5,Guest_7,Logement_10,,,EUR,342.22,,12.78,40.00</t>
  </si>
  <si>
    <t>9/11/2020,Payout,,,,,,Transfer to •••••0801 (EUR),,EUR,,226.54,,</t>
  </si>
  <si>
    <t>9/11/2020,Reservation,HDS5H64H5SDH,9/10/2020,2,Guest_1,Logement_3,,,EUR,226.54,,8.46,35.00</t>
  </si>
  <si>
    <t>9/10/2020,Payout,,,,,,Transfer to •••••0801 (EUR),,EUR,,553.34,,</t>
  </si>
  <si>
    <t>9/10/2020,Reservation,SD5H6SD5HSD6H,9/9/2020,3,Guest_3,Logement_2,,,EUR,390.42,,14.58,45.00</t>
  </si>
  <si>
    <t>9/10/2020,Reservation,SHD54SD65H4DS65,9/9/2020,2,Guest_8,Logement_9,,,EUR,162.92,,6.08,29.00</t>
  </si>
  <si>
    <t>9/9/2020,Payout,,,,,,Transfer to •••••0801 (EUR),,EUR,,650.70,,</t>
  </si>
  <si>
    <t>9/9/2020,Reservation,SD5HH65SDH7,9/8/2020,5,Guest_11,Logement_6,,,EUR,342.22,,12.78,40.00</t>
  </si>
  <si>
    <t>9/9/2020,Reservation,L546U4LGH,9/8/2020,4,Guest_7,Logement_8,,,EUR,308.48,,11.52,40.00</t>
  </si>
  <si>
    <t>9/8/2020,Payout,,,,,,Transfer to •••••0801 (EUR),,EUR,,4.82,,</t>
  </si>
  <si>
    <t>9/8/2020,Reservation,65DJ465DFJ4,9/7/2020,2,Guest_2,Logement_3,,,EUR,207.26,,7.74,35.00</t>
  </si>
  <si>
    <t>9/6/2020,Payout,,,,,,Transfer to •••••0801 (EUR),,EUR,,655.52,,</t>
  </si>
  <si>
    <t>9/6/2020,Reservation,65SDFHDSHDS6,9/5/2020,7,Guest_3,Logement_5,,,EUR,655.52,,24.48,29.00</t>
  </si>
  <si>
    <t>9/6/2020,Payout,,,,,,Transfer to •••••0801 (EUR),,EUR,,790.48,,</t>
  </si>
  <si>
    <t>9/6/2020,Reservation,SHGSDH656,9/5/2020,5,Guest_8,Logement_10,,,EUR,380.78,,14.22,40.00</t>
  </si>
  <si>
    <t>9/6/2020,Reservation,HSHSDFG456SH,9/5/2020,2,Guest_7,Logement_3,,,EUR,207.26,,7.74,35.00</t>
  </si>
  <si>
    <t>9/5/2020,Payout,,,,,,Transfer to •••••0801 (EUR),,EUR,,645.88,,</t>
  </si>
  <si>
    <t>9/5/2020,Reservation,K65HGHDDFJ,9/4/2020,3,Guest_2,Logement_8,,,EUR,241.00,,9.00,40.00</t>
  </si>
  <si>
    <t>9/5/2020,Reservation,JDF3J5DF3J5,9/4/2020,3,Guest_11,Logement_2,,,EUR,404.88,,15.12,45.00</t>
  </si>
  <si>
    <t>9/4/2020,Payout,,,,,,Transfer to •••••0801 (EUR),,EUR,,693.12,,</t>
  </si>
  <si>
    <t>9/4/2020,Reservation,J456DF4J65DFJ,9/3/2020,8,Guest_7,Logement_7,,,EUR,693.12,,25.88,39.00</t>
  </si>
  <si>
    <t>9/4/2020,Payout,,,,,,Transfer to •••••0801 (EUR),,EUR,,513.81,,</t>
  </si>
  <si>
    <t>9/4/2020,Reservation,JDF456DFJ65DJ,9/3/2020,7,Guest_3,Logement_4,,,EUR,513.81,,19.19,40.00</t>
  </si>
  <si>
    <t>9/3/2020,Payout,,,,,,Transfer to •••••0801 (EUR),,EUR,,698.43,,</t>
  </si>
  <si>
    <t>9/2/2020,Resolution Adjustment,,,,,,Resolution adjustment for resolution 4345,,EUR,-202.44,,,</t>
  </si>
  <si>
    <t>9/3/2020,Reservation,DF5J32453DFJFGJ,9/2/2020,7,Guest_1,Logement_1,,,EUR,482.49,,18.01,35.00</t>
  </si>
  <si>
    <t>9/3/2020,Reservation,JFDDFJFGJ5614,9/2/2020,5,Guest_8,Logement_9,,,EUR,418.38,,15.62,29.00</t>
  </si>
  <si>
    <t>9/2/2020,Payout,,,,,,Transfer to •••••0801 (EUR),,EUR,,554.30,,</t>
  </si>
  <si>
    <t>9/2/2020,Reservation,DFJG5464DFJ65,9/1/2020,4,Guest_7,Logement_10,,,EUR,323.90,,12.10,40.00</t>
  </si>
  <si>
    <t>9/2/2020,Reservation,DJFJ57657DFGJ,9/1/2020,2,Guest_11,Logement_7,,,EUR,230.40,,8.60,39.00</t>
  </si>
  <si>
    <t>9/2/2020,Payout,,,,,,Transfer to •••••0801 (EUR),,EUR,,594.79,,</t>
  </si>
  <si>
    <t>9/2/2020,Reservation,DFJ456456DJFG,9/1/2020,4,Guest_3,Logement_3,,,EUR,392.35,,14.65,35.00</t>
  </si>
  <si>
    <t>9/2/2020,Reservation,DDFJG4564654DFJ,9/1/2020,3,Guest_8,Logement_11,,,EUR,202.44,,7.56,30.00</t>
  </si>
  <si>
    <t>9/1/2020,Payout,,,,,,Transfer to •••••0801 (EUR),,EUR,,171.87,,</t>
  </si>
  <si>
    <t>8/31/2020,Resolution Adjustment,,,,,,Resolution adjustment for resolution 54646654654,,EUR,-260.00,,,</t>
  </si>
  <si>
    <t>9/1/2020,Reservation,DFJ45654DFJ,8/31/2020,6,Guest_7,Logement_6,,,EUR,431.87,,16.13,40.00</t>
  </si>
  <si>
    <t>159.06</t>
  </si>
  <si>
    <t>Guest_1</t>
  </si>
  <si>
    <t>Logement_1</t>
  </si>
  <si>
    <t>1023.77</t>
  </si>
  <si>
    <t>Guest_2</t>
  </si>
  <si>
    <t>Logement_2</t>
  </si>
  <si>
    <t>471.77</t>
  </si>
  <si>
    <t>Resolution adjustment for resolution 8549546</t>
  </si>
  <si>
    <t>Guest_3</t>
  </si>
  <si>
    <t>Logement_3</t>
  </si>
  <si>
    <t>Guest_4</t>
  </si>
  <si>
    <t>Logement_4</t>
  </si>
  <si>
    <t>559.60</t>
  </si>
  <si>
    <t>Guest_5</t>
  </si>
  <si>
    <t>Logement_5</t>
  </si>
  <si>
    <t>Guest_6</t>
  </si>
  <si>
    <t>281.49</t>
  </si>
  <si>
    <t>Guest_7</t>
  </si>
  <si>
    <t>Logement_6</t>
  </si>
  <si>
    <t>1154.27</t>
  </si>
  <si>
    <t>Resolution adjustment for resolution 4343435</t>
  </si>
  <si>
    <t>Guest_8</t>
  </si>
  <si>
    <t>Logement_7</t>
  </si>
  <si>
    <t>Guest_9</t>
  </si>
  <si>
    <t>Logement_8</t>
  </si>
  <si>
    <t>696.03</t>
  </si>
  <si>
    <t>Guest_10</t>
  </si>
  <si>
    <t>Guest_11</t>
  </si>
  <si>
    <t>Logement_9</t>
  </si>
  <si>
    <t>356.68</t>
  </si>
  <si>
    <t>Logement_10</t>
  </si>
  <si>
    <t>187.98</t>
  </si>
  <si>
    <t>869.53</t>
  </si>
  <si>
    <t>808.80</t>
  </si>
  <si>
    <t>293.73</t>
  </si>
  <si>
    <t>517.18</t>
  </si>
  <si>
    <t>342.22</t>
  </si>
  <si>
    <t>226.54</t>
  </si>
  <si>
    <t>553.34</t>
  </si>
  <si>
    <t>650.70</t>
  </si>
  <si>
    <t>4.82</t>
  </si>
  <si>
    <t>Logement_11</t>
  </si>
  <si>
    <t>655.52</t>
  </si>
  <si>
    <t>790.48</t>
  </si>
  <si>
    <t>645.88</t>
  </si>
  <si>
    <t>693.12</t>
  </si>
  <si>
    <t>513.81</t>
  </si>
  <si>
    <t>698.43</t>
  </si>
  <si>
    <t>Resolution adjustment for resolution 4345</t>
  </si>
  <si>
    <t>554.30</t>
  </si>
  <si>
    <t>594.79</t>
  </si>
  <si>
    <t>171.87</t>
  </si>
  <si>
    <t>Resolution adjustment for resolution 54646654654</t>
  </si>
  <si>
    <t>Client_1</t>
  </si>
  <si>
    <t>Client_2</t>
  </si>
  <si>
    <t>Client_3</t>
  </si>
  <si>
    <t>Client_4</t>
  </si>
  <si>
    <t>Client_5</t>
  </si>
  <si>
    <t>Client_6</t>
  </si>
  <si>
    <t>Client_7</t>
  </si>
  <si>
    <t>Client_8</t>
  </si>
  <si>
    <t>Client_9</t>
  </si>
  <si>
    <t>Client_10</t>
  </si>
  <si>
    <t>Client_11</t>
  </si>
  <si>
    <t>9/7/2020,Adjustment,5FDJ65F65DFJ,9/5/2020,3,Guest_8,Logement_11,,,EUR,-202.44,,,</t>
  </si>
  <si>
    <t>9/6/2020,Reservation,HSDH56465SHD,9/5/2020,3,Guest_8,Logement_11,,,EUR,202.44,,,</t>
  </si>
  <si>
    <t>Nettoyage</t>
  </si>
  <si>
    <t>AVRIL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</si>
</sst>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\ &quot;€&quot;"/>
    <numFmt numFmtId="165" formatCode="#,##0.00\ _€"/>
    <numFmt numFmtId="166" formatCode="mm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99CC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0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3" fillId="33" borderId="11" xfId="0" applyFont="1" applyFill="1" applyBorder="1" applyAlignment="1">
      <alignment horizontal="center"/>
    </xf>
    <xf numFmtId="165" fontId="0" fillId="0" borderId="0" xfId="0" applyNumberFormat="1"/>
    <xf numFmtId="0" fontId="13" fillId="34" borderId="15" xfId="0" applyFont="1" applyFill="1" applyBorder="1" applyAlignment="1">
      <alignment horizontal="center"/>
    </xf>
    <xf numFmtId="14" fontId="0" fillId="0" borderId="13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6" fontId="0" fillId="0" borderId="0" xfId="0" applyNumberFormat="1"/>
    <xf numFmtId="0" fontId="0" fillId="0" borderId="16" xfId="0" applyBorder="1" applyAlignment="1">
      <alignment horizontal="center"/>
    </xf>
    <xf numFmtId="164" fontId="0" fillId="0" borderId="0" xfId="0" applyNumberFormat="1"/>
    <xf numFmtId="0" fontId="0" fillId="0" borderId="0" xfId="0"/>
    <xf numFmtId="0" fontId="0" fillId="0" borderId="0" xfId="0"/>
    <xf numFmtId="10" fontId="0" fillId="0" borderId="16" xfId="0" applyNumberFormat="1" applyBorder="1" applyAlignment="1">
      <alignment horizontal="center"/>
    </xf>
    <xf numFmtId="0" fontId="13" fillId="35" borderId="10" xfId="0" applyFont="1" applyFill="1" applyBorder="1" applyAlignment="1">
      <alignment horizontal="center"/>
    </xf>
    <xf numFmtId="0" fontId="13" fillId="35" borderId="11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16</xdr:row>
          <xdr:rowOff>0</xdr:rowOff>
        </xdr:from>
        <xdr:to>
          <xdr:col>2</xdr:col>
          <xdr:colOff>1019175</xdr:colOff>
          <xdr:row>18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Editer les fiches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C366E-0709-49B1-992D-934EE46CDAC7}">
  <sheetPr codeName="Feuil4">
    <tabColor rgb="FF92D050"/>
  </sheetPr>
  <dimension ref="B1:C12"/>
  <sheetViews>
    <sheetView workbookViewId="0">
      <selection activeCell="C8" sqref="C8"/>
    </sheetView>
  </sheetViews>
  <sheetFormatPr baseColWidth="10" defaultRowHeight="15" x14ac:dyDescent="0.25"/>
  <cols>
    <col min="2" max="2" width="44.140625" style="19" bestFit="1" customWidth="1"/>
    <col min="3" max="3" width="21.5703125" style="19" bestFit="1" customWidth="1"/>
  </cols>
  <sheetData>
    <row r="1" spans="2:3" ht="15.75" thickBot="1" x14ac:dyDescent="0.3">
      <c r="B1" s="17" t="s">
        <v>0</v>
      </c>
      <c r="C1" s="18" t="s">
        <v>1</v>
      </c>
    </row>
    <row r="2" spans="2:3" x14ac:dyDescent="0.25">
      <c r="B2" s="19" t="s">
        <v>100</v>
      </c>
      <c r="C2" s="19" t="s">
        <v>151</v>
      </c>
    </row>
    <row r="3" spans="2:3" x14ac:dyDescent="0.25">
      <c r="B3" s="19" t="s">
        <v>103</v>
      </c>
      <c r="C3" s="19" t="s">
        <v>152</v>
      </c>
    </row>
    <row r="4" spans="2:3" x14ac:dyDescent="0.25">
      <c r="B4" s="19" t="s">
        <v>107</v>
      </c>
      <c r="C4" s="19" t="s">
        <v>153</v>
      </c>
    </row>
    <row r="5" spans="2:3" x14ac:dyDescent="0.25">
      <c r="B5" s="19" t="s">
        <v>109</v>
      </c>
      <c r="C5" s="19" t="s">
        <v>154</v>
      </c>
    </row>
    <row r="6" spans="2:3" x14ac:dyDescent="0.25">
      <c r="B6" s="19" t="s">
        <v>112</v>
      </c>
      <c r="C6" s="19" t="s">
        <v>155</v>
      </c>
    </row>
    <row r="7" spans="2:3" x14ac:dyDescent="0.25">
      <c r="B7" s="19" t="s">
        <v>116</v>
      </c>
      <c r="C7" s="19" t="s">
        <v>156</v>
      </c>
    </row>
    <row r="8" spans="2:3" x14ac:dyDescent="0.25">
      <c r="B8" s="19" t="s">
        <v>120</v>
      </c>
      <c r="C8" s="19" t="s">
        <v>157</v>
      </c>
    </row>
    <row r="9" spans="2:3" x14ac:dyDescent="0.25">
      <c r="B9" s="19" t="s">
        <v>122</v>
      </c>
      <c r="C9" s="19" t="s">
        <v>158</v>
      </c>
    </row>
    <row r="10" spans="2:3" x14ac:dyDescent="0.25">
      <c r="B10" s="19" t="s">
        <v>126</v>
      </c>
      <c r="C10" s="19" t="s">
        <v>159</v>
      </c>
    </row>
    <row r="11" spans="2:3" x14ac:dyDescent="0.25">
      <c r="B11" s="19" t="s">
        <v>128</v>
      </c>
      <c r="C11" s="19" t="s">
        <v>160</v>
      </c>
    </row>
    <row r="12" spans="2:3" x14ac:dyDescent="0.25">
      <c r="B12" s="19" t="s">
        <v>139</v>
      </c>
      <c r="C12" s="19" t="s">
        <v>161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92D050"/>
  </sheetPr>
  <dimension ref="A1:A80"/>
  <sheetViews>
    <sheetView workbookViewId="0">
      <selection sqref="A1:XFD1048576"/>
    </sheetView>
  </sheetViews>
  <sheetFormatPr baseColWidth="10" defaultRowHeight="15" x14ac:dyDescent="0.25"/>
  <cols>
    <col min="1" max="16384" width="11.42578125" style="15"/>
  </cols>
  <sheetData>
    <row r="1" spans="1:1" x14ac:dyDescent="0.25">
      <c r="A1" s="15" t="s">
        <v>20</v>
      </c>
    </row>
    <row r="2" spans="1:1" x14ac:dyDescent="0.25">
      <c r="A2" s="15" t="s">
        <v>21</v>
      </c>
    </row>
    <row r="3" spans="1:1" x14ac:dyDescent="0.25">
      <c r="A3" s="15" t="s">
        <v>22</v>
      </c>
    </row>
    <row r="4" spans="1:1" x14ac:dyDescent="0.25">
      <c r="A4" s="15" t="s">
        <v>23</v>
      </c>
    </row>
    <row r="5" spans="1:1" x14ac:dyDescent="0.25">
      <c r="A5" s="15" t="s">
        <v>24</v>
      </c>
    </row>
    <row r="6" spans="1:1" x14ac:dyDescent="0.25">
      <c r="A6" s="15" t="s">
        <v>25</v>
      </c>
    </row>
    <row r="7" spans="1:1" x14ac:dyDescent="0.25">
      <c r="A7" s="15" t="s">
        <v>26</v>
      </c>
    </row>
    <row r="8" spans="1:1" x14ac:dyDescent="0.25">
      <c r="A8" s="15" t="s">
        <v>27</v>
      </c>
    </row>
    <row r="9" spans="1:1" x14ac:dyDescent="0.25">
      <c r="A9" s="15" t="s">
        <v>28</v>
      </c>
    </row>
    <row r="10" spans="1:1" x14ac:dyDescent="0.25">
      <c r="A10" s="15" t="s">
        <v>29</v>
      </c>
    </row>
    <row r="11" spans="1:1" x14ac:dyDescent="0.25">
      <c r="A11" s="15" t="s">
        <v>30</v>
      </c>
    </row>
    <row r="12" spans="1:1" x14ac:dyDescent="0.25">
      <c r="A12" s="15" t="s">
        <v>31</v>
      </c>
    </row>
    <row r="13" spans="1:1" x14ac:dyDescent="0.25">
      <c r="A13" s="15" t="s">
        <v>32</v>
      </c>
    </row>
    <row r="14" spans="1:1" x14ac:dyDescent="0.25">
      <c r="A14" s="15" t="s">
        <v>33</v>
      </c>
    </row>
    <row r="15" spans="1:1" x14ac:dyDescent="0.25">
      <c r="A15" s="15" t="s">
        <v>34</v>
      </c>
    </row>
    <row r="16" spans="1:1" x14ac:dyDescent="0.25">
      <c r="A16" s="15" t="s">
        <v>35</v>
      </c>
    </row>
    <row r="17" spans="1:1" x14ac:dyDescent="0.25">
      <c r="A17" s="15" t="s">
        <v>36</v>
      </c>
    </row>
    <row r="18" spans="1:1" x14ac:dyDescent="0.25">
      <c r="A18" s="15" t="s">
        <v>37</v>
      </c>
    </row>
    <row r="19" spans="1:1" x14ac:dyDescent="0.25">
      <c r="A19" s="15" t="s">
        <v>38</v>
      </c>
    </row>
    <row r="20" spans="1:1" x14ac:dyDescent="0.25">
      <c r="A20" s="15" t="s">
        <v>39</v>
      </c>
    </row>
    <row r="21" spans="1:1" x14ac:dyDescent="0.25">
      <c r="A21" s="15" t="s">
        <v>40</v>
      </c>
    </row>
    <row r="22" spans="1:1" x14ac:dyDescent="0.25">
      <c r="A22" s="15" t="s">
        <v>41</v>
      </c>
    </row>
    <row r="23" spans="1:1" x14ac:dyDescent="0.25">
      <c r="A23" s="15" t="s">
        <v>42</v>
      </c>
    </row>
    <row r="24" spans="1:1" x14ac:dyDescent="0.25">
      <c r="A24" s="15" t="s">
        <v>43</v>
      </c>
    </row>
    <row r="25" spans="1:1" x14ac:dyDescent="0.25">
      <c r="A25" s="15" t="s">
        <v>44</v>
      </c>
    </row>
    <row r="26" spans="1:1" x14ac:dyDescent="0.25">
      <c r="A26" s="15" t="s">
        <v>45</v>
      </c>
    </row>
    <row r="27" spans="1:1" x14ac:dyDescent="0.25">
      <c r="A27" s="15" t="s">
        <v>46</v>
      </c>
    </row>
    <row r="28" spans="1:1" x14ac:dyDescent="0.25">
      <c r="A28" s="15" t="s">
        <v>47</v>
      </c>
    </row>
    <row r="29" spans="1:1" x14ac:dyDescent="0.25">
      <c r="A29" s="15" t="s">
        <v>48</v>
      </c>
    </row>
    <row r="30" spans="1:1" x14ac:dyDescent="0.25">
      <c r="A30" s="15" t="s">
        <v>49</v>
      </c>
    </row>
    <row r="31" spans="1:1" x14ac:dyDescent="0.25">
      <c r="A31" s="15" t="s">
        <v>50</v>
      </c>
    </row>
    <row r="32" spans="1:1" x14ac:dyDescent="0.25">
      <c r="A32" s="15" t="s">
        <v>51</v>
      </c>
    </row>
    <row r="33" spans="1:1" x14ac:dyDescent="0.25">
      <c r="A33" s="15" t="s">
        <v>52</v>
      </c>
    </row>
    <row r="34" spans="1:1" x14ac:dyDescent="0.25">
      <c r="A34" s="15" t="s">
        <v>53</v>
      </c>
    </row>
    <row r="35" spans="1:1" x14ac:dyDescent="0.25">
      <c r="A35" s="15" t="s">
        <v>54</v>
      </c>
    </row>
    <row r="36" spans="1:1" x14ac:dyDescent="0.25">
      <c r="A36" s="15" t="s">
        <v>55</v>
      </c>
    </row>
    <row r="37" spans="1:1" x14ac:dyDescent="0.25">
      <c r="A37" s="15" t="s">
        <v>56</v>
      </c>
    </row>
    <row r="38" spans="1:1" x14ac:dyDescent="0.25">
      <c r="A38" s="15" t="s">
        <v>57</v>
      </c>
    </row>
    <row r="39" spans="1:1" x14ac:dyDescent="0.25">
      <c r="A39" s="15" t="s">
        <v>58</v>
      </c>
    </row>
    <row r="40" spans="1:1" x14ac:dyDescent="0.25">
      <c r="A40" s="15" t="s">
        <v>59</v>
      </c>
    </row>
    <row r="41" spans="1:1" x14ac:dyDescent="0.25">
      <c r="A41" s="15" t="s">
        <v>60</v>
      </c>
    </row>
    <row r="42" spans="1:1" x14ac:dyDescent="0.25">
      <c r="A42" s="15" t="s">
        <v>61</v>
      </c>
    </row>
    <row r="43" spans="1:1" x14ac:dyDescent="0.25">
      <c r="A43" s="15" t="s">
        <v>62</v>
      </c>
    </row>
    <row r="44" spans="1:1" x14ac:dyDescent="0.25">
      <c r="A44" s="15" t="s">
        <v>63</v>
      </c>
    </row>
    <row r="45" spans="1:1" x14ac:dyDescent="0.25">
      <c r="A45" s="15" t="s">
        <v>64</v>
      </c>
    </row>
    <row r="46" spans="1:1" x14ac:dyDescent="0.25">
      <c r="A46" s="15" t="s">
        <v>65</v>
      </c>
    </row>
    <row r="47" spans="1:1" x14ac:dyDescent="0.25">
      <c r="A47" s="15" t="s">
        <v>66</v>
      </c>
    </row>
    <row r="48" spans="1:1" x14ac:dyDescent="0.25">
      <c r="A48" s="15" t="s">
        <v>67</v>
      </c>
    </row>
    <row r="49" spans="1:1" x14ac:dyDescent="0.25">
      <c r="A49" s="15" t="s">
        <v>68</v>
      </c>
    </row>
    <row r="50" spans="1:1" x14ac:dyDescent="0.25">
      <c r="A50" s="15" t="s">
        <v>69</v>
      </c>
    </row>
    <row r="51" spans="1:1" x14ac:dyDescent="0.25">
      <c r="A51" s="15" t="s">
        <v>70</v>
      </c>
    </row>
    <row r="52" spans="1:1" x14ac:dyDescent="0.25">
      <c r="A52" s="15" t="s">
        <v>71</v>
      </c>
    </row>
    <row r="53" spans="1:1" x14ac:dyDescent="0.25">
      <c r="A53" s="15" t="s">
        <v>162</v>
      </c>
    </row>
    <row r="54" spans="1:1" x14ac:dyDescent="0.25">
      <c r="A54" s="15" t="s">
        <v>72</v>
      </c>
    </row>
    <row r="55" spans="1:1" x14ac:dyDescent="0.25">
      <c r="A55" s="15" t="s">
        <v>73</v>
      </c>
    </row>
    <row r="56" spans="1:1" x14ac:dyDescent="0.25">
      <c r="A56" s="15" t="s">
        <v>74</v>
      </c>
    </row>
    <row r="57" spans="1:1" x14ac:dyDescent="0.25">
      <c r="A57" s="15" t="s">
        <v>75</v>
      </c>
    </row>
    <row r="58" spans="1:1" x14ac:dyDescent="0.25">
      <c r="A58" s="15" t="s">
        <v>163</v>
      </c>
    </row>
    <row r="59" spans="1:1" x14ac:dyDescent="0.25">
      <c r="A59" s="15" t="s">
        <v>76</v>
      </c>
    </row>
    <row r="60" spans="1:1" x14ac:dyDescent="0.25">
      <c r="A60" s="15" t="s">
        <v>77</v>
      </c>
    </row>
    <row r="61" spans="1:1" x14ac:dyDescent="0.25">
      <c r="A61" s="15" t="s">
        <v>78</v>
      </c>
    </row>
    <row r="62" spans="1:1" x14ac:dyDescent="0.25">
      <c r="A62" s="15" t="s">
        <v>79</v>
      </c>
    </row>
    <row r="63" spans="1:1" x14ac:dyDescent="0.25">
      <c r="A63" s="15" t="s">
        <v>80</v>
      </c>
    </row>
    <row r="64" spans="1:1" x14ac:dyDescent="0.25">
      <c r="A64" s="15" t="s">
        <v>81</v>
      </c>
    </row>
    <row r="65" spans="1:1" x14ac:dyDescent="0.25">
      <c r="A65" s="15" t="s">
        <v>82</v>
      </c>
    </row>
    <row r="66" spans="1:1" x14ac:dyDescent="0.25">
      <c r="A66" s="15" t="s">
        <v>83</v>
      </c>
    </row>
    <row r="67" spans="1:1" x14ac:dyDescent="0.25">
      <c r="A67" s="15" t="s">
        <v>84</v>
      </c>
    </row>
    <row r="68" spans="1:1" x14ac:dyDescent="0.25">
      <c r="A68" s="15" t="s">
        <v>85</v>
      </c>
    </row>
    <row r="69" spans="1:1" x14ac:dyDescent="0.25">
      <c r="A69" s="15" t="s">
        <v>86</v>
      </c>
    </row>
    <row r="70" spans="1:1" x14ac:dyDescent="0.25">
      <c r="A70" s="15" t="s">
        <v>87</v>
      </c>
    </row>
    <row r="71" spans="1:1" x14ac:dyDescent="0.25">
      <c r="A71" s="15" t="s">
        <v>88</v>
      </c>
    </row>
    <row r="72" spans="1:1" x14ac:dyDescent="0.25">
      <c r="A72" s="15" t="s">
        <v>89</v>
      </c>
    </row>
    <row r="73" spans="1:1" x14ac:dyDescent="0.25">
      <c r="A73" s="15" t="s">
        <v>90</v>
      </c>
    </row>
    <row r="74" spans="1:1" x14ac:dyDescent="0.25">
      <c r="A74" s="15" t="s">
        <v>91</v>
      </c>
    </row>
    <row r="75" spans="1:1" x14ac:dyDescent="0.25">
      <c r="A75" s="15" t="s">
        <v>92</v>
      </c>
    </row>
    <row r="76" spans="1:1" x14ac:dyDescent="0.25">
      <c r="A76" s="15" t="s">
        <v>93</v>
      </c>
    </row>
    <row r="77" spans="1:1" x14ac:dyDescent="0.25">
      <c r="A77" s="15" t="s">
        <v>94</v>
      </c>
    </row>
    <row r="78" spans="1:1" x14ac:dyDescent="0.25">
      <c r="A78" s="15" t="s">
        <v>95</v>
      </c>
    </row>
    <row r="79" spans="1:1" x14ac:dyDescent="0.25">
      <c r="A79" s="15" t="s">
        <v>96</v>
      </c>
    </row>
    <row r="80" spans="1:1" x14ac:dyDescent="0.25">
      <c r="A80" s="15" t="s">
        <v>97</v>
      </c>
    </row>
  </sheetData>
  <sortState xmlns:xlrd2="http://schemas.microsoft.com/office/spreadsheetml/2017/richdata2" ref="A1:O96">
    <sortCondition ref="G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DD784-86E1-4C34-9097-26EA324FBADA}">
  <sheetPr codeName="Feuil2">
    <tabColor rgb="FFFF0000"/>
  </sheetPr>
  <dimension ref="A1:K500"/>
  <sheetViews>
    <sheetView workbookViewId="0">
      <selection activeCell="K1" sqref="K1"/>
    </sheetView>
  </sheetViews>
  <sheetFormatPr baseColWidth="10" defaultRowHeight="15" x14ac:dyDescent="0.25"/>
  <cols>
    <col min="1" max="1" width="10.7109375" style="1" bestFit="1" customWidth="1"/>
    <col min="2" max="2" width="6" style="2" bestFit="1" customWidth="1"/>
    <col min="3" max="3" width="30.5703125" style="2" bestFit="1" customWidth="1"/>
    <col min="4" max="4" width="44.140625" style="2" bestFit="1" customWidth="1"/>
    <col min="5" max="5" width="6.42578125" style="2" bestFit="1" customWidth="1"/>
    <col min="6" max="6" width="9.140625" style="2" bestFit="1" customWidth="1"/>
    <col min="7" max="7" width="8.28515625" style="2" bestFit="1" customWidth="1"/>
    <col min="8" max="8" width="7.5703125" style="2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4</v>
      </c>
      <c r="B1" t="s">
        <v>5</v>
      </c>
      <c r="C1" t="s">
        <v>6</v>
      </c>
      <c r="D1" t="s">
        <v>0</v>
      </c>
      <c r="E1" t="s">
        <v>7</v>
      </c>
      <c r="F1" t="s">
        <v>8</v>
      </c>
      <c r="G1" t="s">
        <v>9</v>
      </c>
      <c r="H1" s="7">
        <v>0</v>
      </c>
      <c r="J1">
        <v>0</v>
      </c>
      <c r="K1">
        <v>0</v>
      </c>
    </row>
    <row r="2" spans="1:11" x14ac:dyDescent="0.25">
      <c r="A2" s="1">
        <v>44076</v>
      </c>
      <c r="B2">
        <v>7</v>
      </c>
      <c r="C2" t="s">
        <v>99</v>
      </c>
      <c r="D2" t="s">
        <v>100</v>
      </c>
      <c r="E2"/>
      <c r="F2"/>
      <c r="G2" t="s">
        <v>3</v>
      </c>
      <c r="H2">
        <v>482.49</v>
      </c>
      <c r="J2">
        <v>18.010000000000002</v>
      </c>
      <c r="K2">
        <v>35</v>
      </c>
    </row>
    <row r="3" spans="1:11" x14ac:dyDescent="0.25">
      <c r="A3" s="1">
        <v>44085</v>
      </c>
      <c r="B3">
        <v>5</v>
      </c>
      <c r="C3" t="s">
        <v>125</v>
      </c>
      <c r="D3" t="s">
        <v>100</v>
      </c>
      <c r="E3"/>
      <c r="F3"/>
      <c r="G3" t="s">
        <v>3</v>
      </c>
      <c r="H3">
        <v>354.26</v>
      </c>
      <c r="J3">
        <v>13.24</v>
      </c>
      <c r="K3">
        <v>35</v>
      </c>
    </row>
    <row r="4" spans="1:11" x14ac:dyDescent="0.25">
      <c r="A4" s="1">
        <v>44091</v>
      </c>
      <c r="B4">
        <v>4</v>
      </c>
      <c r="C4" t="s">
        <v>119</v>
      </c>
      <c r="D4" t="s">
        <v>100</v>
      </c>
      <c r="E4"/>
      <c r="F4"/>
      <c r="G4" t="s">
        <v>3</v>
      </c>
      <c r="H4">
        <v>290.16000000000003</v>
      </c>
      <c r="J4">
        <v>10.84</v>
      </c>
      <c r="K4">
        <v>35</v>
      </c>
    </row>
    <row r="5" spans="1:11" x14ac:dyDescent="0.25">
      <c r="A5" s="1">
        <v>44097</v>
      </c>
      <c r="B5">
        <v>3</v>
      </c>
      <c r="C5" t="s">
        <v>113</v>
      </c>
      <c r="D5" t="s">
        <v>100</v>
      </c>
      <c r="E5"/>
      <c r="F5"/>
      <c r="G5" t="s">
        <v>3</v>
      </c>
      <c r="H5">
        <v>244.37</v>
      </c>
      <c r="J5">
        <v>9.1300000000000008</v>
      </c>
      <c r="K5">
        <v>35</v>
      </c>
    </row>
    <row r="6" spans="1:11" x14ac:dyDescent="0.25">
      <c r="A6" s="1">
        <v>44103</v>
      </c>
      <c r="B6">
        <v>2</v>
      </c>
      <c r="C6" t="s">
        <v>99</v>
      </c>
      <c r="D6" t="s">
        <v>100</v>
      </c>
      <c r="E6"/>
      <c r="F6"/>
      <c r="G6" t="s">
        <v>3</v>
      </c>
      <c r="H6">
        <v>159.06</v>
      </c>
      <c r="J6">
        <v>5.94</v>
      </c>
      <c r="K6">
        <v>35</v>
      </c>
    </row>
    <row r="7" spans="1:11" x14ac:dyDescent="0.25">
      <c r="A7" s="1">
        <v>44075</v>
      </c>
      <c r="B7">
        <v>4</v>
      </c>
      <c r="C7" t="s">
        <v>115</v>
      </c>
      <c r="D7" t="s">
        <v>128</v>
      </c>
      <c r="E7"/>
      <c r="F7"/>
      <c r="G7" t="s">
        <v>3</v>
      </c>
      <c r="H7">
        <v>323.89999999999998</v>
      </c>
      <c r="J7">
        <v>12.1</v>
      </c>
      <c r="K7">
        <v>40</v>
      </c>
    </row>
    <row r="8" spans="1:11" x14ac:dyDescent="0.25">
      <c r="A8" s="1">
        <v>44079</v>
      </c>
      <c r="B8">
        <v>5</v>
      </c>
      <c r="C8" t="s">
        <v>119</v>
      </c>
      <c r="D8" t="s">
        <v>128</v>
      </c>
      <c r="E8"/>
      <c r="F8"/>
      <c r="G8" t="s">
        <v>3</v>
      </c>
      <c r="H8">
        <v>380.78</v>
      </c>
      <c r="J8">
        <v>14.22</v>
      </c>
      <c r="K8">
        <v>40</v>
      </c>
    </row>
    <row r="9" spans="1:11" x14ac:dyDescent="0.25">
      <c r="A9" s="1">
        <v>44084</v>
      </c>
      <c r="B9">
        <v>5</v>
      </c>
      <c r="C9" t="s">
        <v>115</v>
      </c>
      <c r="D9" t="s">
        <v>128</v>
      </c>
      <c r="E9"/>
      <c r="F9"/>
      <c r="G9" t="s">
        <v>3</v>
      </c>
      <c r="H9">
        <v>342.22</v>
      </c>
      <c r="J9">
        <v>12.78</v>
      </c>
      <c r="K9">
        <v>40</v>
      </c>
    </row>
    <row r="10" spans="1:11" x14ac:dyDescent="0.25">
      <c r="A10" s="1">
        <v>44090</v>
      </c>
      <c r="B10">
        <v>6</v>
      </c>
      <c r="C10" t="s">
        <v>125</v>
      </c>
      <c r="D10" t="s">
        <v>128</v>
      </c>
      <c r="E10"/>
      <c r="F10"/>
      <c r="G10" t="s">
        <v>3</v>
      </c>
      <c r="H10">
        <v>356.68</v>
      </c>
      <c r="J10">
        <v>13.32</v>
      </c>
      <c r="K10">
        <v>40</v>
      </c>
    </row>
    <row r="11" spans="1:11" x14ac:dyDescent="0.25">
      <c r="A11" s="1">
        <v>44075</v>
      </c>
      <c r="B11">
        <v>3</v>
      </c>
      <c r="C11" t="s">
        <v>119</v>
      </c>
      <c r="D11" t="s">
        <v>139</v>
      </c>
      <c r="E11"/>
      <c r="F11"/>
      <c r="G11" t="s">
        <v>3</v>
      </c>
      <c r="H11">
        <v>202.44</v>
      </c>
      <c r="J11">
        <v>7.56</v>
      </c>
      <c r="K11">
        <v>30</v>
      </c>
    </row>
    <row r="12" spans="1:11" x14ac:dyDescent="0.25">
      <c r="A12" s="1">
        <v>44079</v>
      </c>
      <c r="B12">
        <v>3</v>
      </c>
      <c r="C12" t="s">
        <v>119</v>
      </c>
      <c r="D12" t="s">
        <v>139</v>
      </c>
      <c r="E12"/>
      <c r="F12"/>
      <c r="G12" t="s">
        <v>3</v>
      </c>
      <c r="H12">
        <v>-202.44</v>
      </c>
      <c r="J12">
        <v>0</v>
      </c>
      <c r="K12">
        <v>0</v>
      </c>
    </row>
    <row r="13" spans="1:11" x14ac:dyDescent="0.25">
      <c r="A13" s="1">
        <v>44079</v>
      </c>
      <c r="B13">
        <v>3</v>
      </c>
      <c r="C13" t="s">
        <v>119</v>
      </c>
      <c r="D13" t="s">
        <v>139</v>
      </c>
      <c r="E13"/>
      <c r="F13"/>
      <c r="G13" t="s">
        <v>3</v>
      </c>
      <c r="H13">
        <v>202.44</v>
      </c>
      <c r="J13">
        <v>0</v>
      </c>
      <c r="K13">
        <v>0</v>
      </c>
    </row>
    <row r="14" spans="1:11" x14ac:dyDescent="0.25">
      <c r="A14" s="1">
        <v>44078</v>
      </c>
      <c r="B14">
        <v>3</v>
      </c>
      <c r="C14" t="s">
        <v>125</v>
      </c>
      <c r="D14" t="s">
        <v>103</v>
      </c>
      <c r="E14"/>
      <c r="F14"/>
      <c r="G14" t="s">
        <v>3</v>
      </c>
      <c r="H14">
        <v>404.88</v>
      </c>
      <c r="J14">
        <v>15.12</v>
      </c>
      <c r="K14">
        <v>45</v>
      </c>
    </row>
    <row r="15" spans="1:11" x14ac:dyDescent="0.25">
      <c r="A15" s="1">
        <v>44083</v>
      </c>
      <c r="B15">
        <v>3</v>
      </c>
      <c r="C15" t="s">
        <v>106</v>
      </c>
      <c r="D15" t="s">
        <v>103</v>
      </c>
      <c r="E15"/>
      <c r="F15"/>
      <c r="G15" t="s">
        <v>3</v>
      </c>
      <c r="H15">
        <v>390.42</v>
      </c>
      <c r="J15">
        <v>14.58</v>
      </c>
      <c r="K15">
        <v>45</v>
      </c>
    </row>
    <row r="16" spans="1:11" x14ac:dyDescent="0.25">
      <c r="A16" s="1">
        <v>44100</v>
      </c>
      <c r="B16">
        <v>9</v>
      </c>
      <c r="C16" t="s">
        <v>102</v>
      </c>
      <c r="D16" t="s">
        <v>103</v>
      </c>
      <c r="E16"/>
      <c r="F16"/>
      <c r="G16" t="s">
        <v>3</v>
      </c>
      <c r="H16">
        <v>1023.77</v>
      </c>
      <c r="J16">
        <v>38.229999999999997</v>
      </c>
      <c r="K16">
        <v>45</v>
      </c>
    </row>
    <row r="17" spans="1:11" x14ac:dyDescent="0.25">
      <c r="A17" s="1">
        <v>44075</v>
      </c>
      <c r="B17">
        <v>4</v>
      </c>
      <c r="C17" t="s">
        <v>106</v>
      </c>
      <c r="D17" t="s">
        <v>107</v>
      </c>
      <c r="E17"/>
      <c r="F17"/>
      <c r="G17" t="s">
        <v>3</v>
      </c>
      <c r="H17">
        <v>392.35</v>
      </c>
      <c r="J17">
        <v>14.65</v>
      </c>
      <c r="K17">
        <v>35</v>
      </c>
    </row>
    <row r="18" spans="1:11" x14ac:dyDescent="0.25">
      <c r="A18" s="1">
        <v>44079</v>
      </c>
      <c r="B18">
        <v>2</v>
      </c>
      <c r="C18" t="s">
        <v>115</v>
      </c>
      <c r="D18" t="s">
        <v>107</v>
      </c>
      <c r="E18"/>
      <c r="F18"/>
      <c r="G18" t="s">
        <v>3</v>
      </c>
      <c r="H18">
        <v>207.26</v>
      </c>
      <c r="J18">
        <v>7.74</v>
      </c>
      <c r="K18">
        <v>35</v>
      </c>
    </row>
    <row r="19" spans="1:11" x14ac:dyDescent="0.25">
      <c r="A19" s="1">
        <v>44081</v>
      </c>
      <c r="B19">
        <v>2</v>
      </c>
      <c r="C19" t="s">
        <v>102</v>
      </c>
      <c r="D19" t="s">
        <v>107</v>
      </c>
      <c r="E19"/>
      <c r="F19"/>
      <c r="G19" t="s">
        <v>3</v>
      </c>
      <c r="H19">
        <v>207.26</v>
      </c>
      <c r="J19">
        <v>7.74</v>
      </c>
      <c r="K19">
        <v>35</v>
      </c>
    </row>
    <row r="20" spans="1:11" x14ac:dyDescent="0.25">
      <c r="A20" s="1">
        <v>44084</v>
      </c>
      <c r="B20">
        <v>2</v>
      </c>
      <c r="C20" t="s">
        <v>99</v>
      </c>
      <c r="D20" t="s">
        <v>107</v>
      </c>
      <c r="E20"/>
      <c r="F20"/>
      <c r="G20" t="s">
        <v>3</v>
      </c>
      <c r="H20">
        <v>226.54</v>
      </c>
      <c r="J20">
        <v>8.4600000000000009</v>
      </c>
      <c r="K20">
        <v>35</v>
      </c>
    </row>
    <row r="21" spans="1:11" x14ac:dyDescent="0.25">
      <c r="A21" s="1">
        <v>44086</v>
      </c>
      <c r="B21">
        <v>3</v>
      </c>
      <c r="C21" t="s">
        <v>106</v>
      </c>
      <c r="D21" t="s">
        <v>107</v>
      </c>
      <c r="E21"/>
      <c r="F21"/>
      <c r="G21" t="s">
        <v>3</v>
      </c>
      <c r="H21">
        <v>293.73</v>
      </c>
      <c r="J21">
        <v>10.97</v>
      </c>
      <c r="K21">
        <v>35</v>
      </c>
    </row>
    <row r="22" spans="1:11" x14ac:dyDescent="0.25">
      <c r="A22" s="1">
        <v>44090</v>
      </c>
      <c r="B22">
        <v>2</v>
      </c>
      <c r="C22" t="s">
        <v>106</v>
      </c>
      <c r="D22" t="s">
        <v>107</v>
      </c>
      <c r="E22"/>
      <c r="F22"/>
      <c r="G22" t="s">
        <v>3</v>
      </c>
      <c r="H22">
        <v>187.98</v>
      </c>
      <c r="J22">
        <v>7.02</v>
      </c>
      <c r="K22">
        <v>35</v>
      </c>
    </row>
    <row r="23" spans="1:11" x14ac:dyDescent="0.25">
      <c r="A23" s="1">
        <v>44092</v>
      </c>
      <c r="B23">
        <v>3</v>
      </c>
      <c r="C23" t="s">
        <v>124</v>
      </c>
      <c r="D23" t="s">
        <v>107</v>
      </c>
      <c r="E23"/>
      <c r="F23"/>
      <c r="G23" t="s">
        <v>3</v>
      </c>
      <c r="H23">
        <v>302.7</v>
      </c>
      <c r="J23">
        <v>11.3</v>
      </c>
      <c r="K23">
        <v>35</v>
      </c>
    </row>
    <row r="24" spans="1:11" x14ac:dyDescent="0.25">
      <c r="A24" s="1">
        <v>44099</v>
      </c>
      <c r="B24">
        <v>3</v>
      </c>
      <c r="C24" t="s">
        <v>106</v>
      </c>
      <c r="D24" t="s">
        <v>107</v>
      </c>
      <c r="E24"/>
      <c r="F24"/>
      <c r="G24" t="s">
        <v>3</v>
      </c>
      <c r="H24">
        <v>248.9</v>
      </c>
      <c r="J24">
        <v>9.3000000000000007</v>
      </c>
      <c r="K24">
        <v>35</v>
      </c>
    </row>
    <row r="25" spans="1:11" x14ac:dyDescent="0.25">
      <c r="A25" s="1">
        <v>44077</v>
      </c>
      <c r="B25">
        <v>7</v>
      </c>
      <c r="C25" t="s">
        <v>106</v>
      </c>
      <c r="D25" t="s">
        <v>109</v>
      </c>
      <c r="E25"/>
      <c r="F25"/>
      <c r="G25" t="s">
        <v>3</v>
      </c>
      <c r="H25">
        <v>513.80999999999995</v>
      </c>
      <c r="J25">
        <v>19.190000000000001</v>
      </c>
      <c r="K25">
        <v>40</v>
      </c>
    </row>
    <row r="26" spans="1:11" x14ac:dyDescent="0.25">
      <c r="A26" s="1">
        <v>44088</v>
      </c>
      <c r="B26">
        <v>6</v>
      </c>
      <c r="C26" t="s">
        <v>125</v>
      </c>
      <c r="D26" t="s">
        <v>109</v>
      </c>
      <c r="E26"/>
      <c r="F26"/>
      <c r="G26" t="s">
        <v>3</v>
      </c>
      <c r="H26">
        <v>426.09</v>
      </c>
      <c r="J26">
        <v>15.91</v>
      </c>
      <c r="K26">
        <v>40</v>
      </c>
    </row>
    <row r="27" spans="1:11" x14ac:dyDescent="0.25">
      <c r="A27" s="1">
        <v>44099</v>
      </c>
      <c r="B27">
        <v>3</v>
      </c>
      <c r="C27" t="s">
        <v>108</v>
      </c>
      <c r="D27" t="s">
        <v>109</v>
      </c>
      <c r="E27"/>
      <c r="F27"/>
      <c r="G27" t="s">
        <v>3</v>
      </c>
      <c r="H27">
        <v>251.84</v>
      </c>
      <c r="J27">
        <v>9.41</v>
      </c>
      <c r="K27">
        <v>40</v>
      </c>
    </row>
    <row r="28" spans="1:11" x14ac:dyDescent="0.25">
      <c r="A28" s="1">
        <v>44079</v>
      </c>
      <c r="B28">
        <v>7</v>
      </c>
      <c r="C28" t="s">
        <v>106</v>
      </c>
      <c r="D28" t="s">
        <v>112</v>
      </c>
      <c r="E28"/>
      <c r="F28"/>
      <c r="G28" t="s">
        <v>3</v>
      </c>
      <c r="H28">
        <v>655.52</v>
      </c>
      <c r="J28">
        <v>24.48</v>
      </c>
      <c r="K28">
        <v>29</v>
      </c>
    </row>
    <row r="29" spans="1:11" x14ac:dyDescent="0.25">
      <c r="A29" s="1">
        <v>44089</v>
      </c>
      <c r="B29">
        <v>6</v>
      </c>
      <c r="C29" t="s">
        <v>119</v>
      </c>
      <c r="D29" t="s">
        <v>112</v>
      </c>
      <c r="E29"/>
      <c r="F29"/>
      <c r="G29" t="s">
        <v>3</v>
      </c>
      <c r="H29">
        <v>493.57</v>
      </c>
      <c r="J29">
        <v>18.43</v>
      </c>
      <c r="K29">
        <v>29</v>
      </c>
    </row>
    <row r="30" spans="1:11" x14ac:dyDescent="0.25">
      <c r="A30" s="1">
        <v>44097</v>
      </c>
      <c r="B30">
        <v>4</v>
      </c>
      <c r="C30" t="s">
        <v>111</v>
      </c>
      <c r="D30" t="s">
        <v>112</v>
      </c>
      <c r="E30"/>
      <c r="F30"/>
      <c r="G30" t="s">
        <v>3</v>
      </c>
      <c r="H30">
        <v>315.23</v>
      </c>
      <c r="J30">
        <v>11.77</v>
      </c>
      <c r="K30">
        <v>29</v>
      </c>
    </row>
    <row r="31" spans="1:11" x14ac:dyDescent="0.25">
      <c r="A31" s="1">
        <v>44074</v>
      </c>
      <c r="B31">
        <v>6</v>
      </c>
      <c r="C31" t="s">
        <v>115</v>
      </c>
      <c r="D31" t="s">
        <v>116</v>
      </c>
      <c r="E31"/>
      <c r="F31"/>
      <c r="G31" t="s">
        <v>3</v>
      </c>
      <c r="H31">
        <v>431.87</v>
      </c>
      <c r="J31">
        <v>16.13</v>
      </c>
      <c r="K31">
        <v>40</v>
      </c>
    </row>
    <row r="32" spans="1:11" x14ac:dyDescent="0.25">
      <c r="A32" s="1">
        <v>44082</v>
      </c>
      <c r="B32">
        <v>5</v>
      </c>
      <c r="C32" t="s">
        <v>125</v>
      </c>
      <c r="D32" t="s">
        <v>116</v>
      </c>
      <c r="E32"/>
      <c r="F32"/>
      <c r="G32" t="s">
        <v>3</v>
      </c>
      <c r="H32">
        <v>342.22</v>
      </c>
      <c r="J32">
        <v>12.78</v>
      </c>
      <c r="K32">
        <v>40</v>
      </c>
    </row>
    <row r="33" spans="1:11" x14ac:dyDescent="0.25">
      <c r="A33" s="1">
        <v>44088</v>
      </c>
      <c r="B33">
        <v>6</v>
      </c>
      <c r="C33" t="s">
        <v>99</v>
      </c>
      <c r="D33" t="s">
        <v>116</v>
      </c>
      <c r="E33"/>
      <c r="F33"/>
      <c r="G33" t="s">
        <v>3</v>
      </c>
      <c r="H33">
        <v>382.71</v>
      </c>
      <c r="J33">
        <v>14.29</v>
      </c>
      <c r="K33">
        <v>40</v>
      </c>
    </row>
    <row r="34" spans="1:11" x14ac:dyDescent="0.25">
      <c r="A34" s="1">
        <v>44096</v>
      </c>
      <c r="B34">
        <v>4</v>
      </c>
      <c r="C34" t="s">
        <v>115</v>
      </c>
      <c r="D34" t="s">
        <v>116</v>
      </c>
      <c r="E34"/>
      <c r="F34"/>
      <c r="G34" t="s">
        <v>3</v>
      </c>
      <c r="H34">
        <v>281.49</v>
      </c>
      <c r="J34">
        <v>10.51</v>
      </c>
      <c r="K34">
        <v>40</v>
      </c>
    </row>
    <row r="35" spans="1:11" x14ac:dyDescent="0.25">
      <c r="A35" s="1">
        <v>44075</v>
      </c>
      <c r="B35">
        <v>2</v>
      </c>
      <c r="C35" t="s">
        <v>125</v>
      </c>
      <c r="D35" t="s">
        <v>120</v>
      </c>
      <c r="E35"/>
      <c r="F35"/>
      <c r="G35" t="s">
        <v>3</v>
      </c>
      <c r="H35">
        <v>230.4</v>
      </c>
      <c r="J35">
        <v>8.6</v>
      </c>
      <c r="K35">
        <v>39</v>
      </c>
    </row>
    <row r="36" spans="1:11" x14ac:dyDescent="0.25">
      <c r="A36" s="1">
        <v>44077</v>
      </c>
      <c r="B36">
        <v>8</v>
      </c>
      <c r="C36" t="s">
        <v>115</v>
      </c>
      <c r="D36" t="s">
        <v>120</v>
      </c>
      <c r="E36"/>
      <c r="F36"/>
      <c r="G36" t="s">
        <v>3</v>
      </c>
      <c r="H36">
        <v>693.12</v>
      </c>
      <c r="J36">
        <v>25.88</v>
      </c>
      <c r="K36">
        <v>39</v>
      </c>
    </row>
    <row r="37" spans="1:11" x14ac:dyDescent="0.25">
      <c r="A37" s="1">
        <v>44086</v>
      </c>
      <c r="B37">
        <v>6</v>
      </c>
      <c r="C37" t="s">
        <v>115</v>
      </c>
      <c r="D37" t="s">
        <v>120</v>
      </c>
      <c r="E37"/>
      <c r="F37"/>
      <c r="G37" t="s">
        <v>3</v>
      </c>
      <c r="H37">
        <v>529.24</v>
      </c>
      <c r="J37">
        <v>19.760000000000002</v>
      </c>
      <c r="K37">
        <v>39</v>
      </c>
    </row>
    <row r="38" spans="1:11" x14ac:dyDescent="0.25">
      <c r="A38" s="1">
        <v>44092</v>
      </c>
      <c r="B38">
        <v>2</v>
      </c>
      <c r="C38" t="s">
        <v>115</v>
      </c>
      <c r="D38" t="s">
        <v>120</v>
      </c>
      <c r="E38"/>
      <c r="F38"/>
      <c r="G38" t="s">
        <v>3</v>
      </c>
      <c r="H38">
        <v>211.13</v>
      </c>
      <c r="J38">
        <v>7.87</v>
      </c>
      <c r="K38">
        <v>39</v>
      </c>
    </row>
    <row r="39" spans="1:11" x14ac:dyDescent="0.25">
      <c r="A39" s="1">
        <v>44095</v>
      </c>
      <c r="B39">
        <v>11</v>
      </c>
      <c r="C39" t="s">
        <v>119</v>
      </c>
      <c r="D39" t="s">
        <v>120</v>
      </c>
      <c r="E39"/>
      <c r="F39"/>
      <c r="G39" t="s">
        <v>3</v>
      </c>
      <c r="H39">
        <v>914.35</v>
      </c>
      <c r="J39">
        <v>34.15</v>
      </c>
      <c r="K39">
        <v>39</v>
      </c>
    </row>
    <row r="40" spans="1:11" x14ac:dyDescent="0.25">
      <c r="A40" s="1">
        <v>44078</v>
      </c>
      <c r="B40">
        <v>3</v>
      </c>
      <c r="C40" t="s">
        <v>102</v>
      </c>
      <c r="D40" t="s">
        <v>122</v>
      </c>
      <c r="E40"/>
      <c r="F40"/>
      <c r="G40" t="s">
        <v>3</v>
      </c>
      <c r="H40">
        <v>241</v>
      </c>
      <c r="J40">
        <v>9</v>
      </c>
      <c r="K40">
        <v>40</v>
      </c>
    </row>
    <row r="41" spans="1:11" x14ac:dyDescent="0.25">
      <c r="A41" s="1">
        <v>44082</v>
      </c>
      <c r="B41">
        <v>4</v>
      </c>
      <c r="C41" t="s">
        <v>115</v>
      </c>
      <c r="D41" t="s">
        <v>122</v>
      </c>
      <c r="E41"/>
      <c r="F41"/>
      <c r="G41" t="s">
        <v>3</v>
      </c>
      <c r="H41">
        <v>308.48</v>
      </c>
      <c r="J41">
        <v>11.52</v>
      </c>
      <c r="K41">
        <v>40</v>
      </c>
    </row>
    <row r="42" spans="1:11" x14ac:dyDescent="0.25">
      <c r="A42" s="1">
        <v>44089</v>
      </c>
      <c r="B42">
        <v>5</v>
      </c>
      <c r="C42" t="s">
        <v>115</v>
      </c>
      <c r="D42" t="s">
        <v>122</v>
      </c>
      <c r="E42"/>
      <c r="F42"/>
      <c r="G42" t="s">
        <v>3</v>
      </c>
      <c r="H42">
        <v>375.96</v>
      </c>
      <c r="J42">
        <v>14.04</v>
      </c>
      <c r="K42">
        <v>40</v>
      </c>
    </row>
    <row r="43" spans="1:11" x14ac:dyDescent="0.25">
      <c r="A43" s="1">
        <v>44095</v>
      </c>
      <c r="B43">
        <v>4</v>
      </c>
      <c r="C43" t="s">
        <v>121</v>
      </c>
      <c r="D43" t="s">
        <v>122</v>
      </c>
      <c r="E43"/>
      <c r="F43"/>
      <c r="G43" t="s">
        <v>3</v>
      </c>
      <c r="H43">
        <v>269.92</v>
      </c>
      <c r="J43">
        <v>10.08</v>
      </c>
      <c r="K43">
        <v>40</v>
      </c>
    </row>
    <row r="44" spans="1:11" x14ac:dyDescent="0.25">
      <c r="A44" s="1">
        <v>44076</v>
      </c>
      <c r="B44">
        <v>5</v>
      </c>
      <c r="C44" t="s">
        <v>119</v>
      </c>
      <c r="D44" t="s">
        <v>126</v>
      </c>
      <c r="E44"/>
      <c r="F44"/>
      <c r="G44" t="s">
        <v>3</v>
      </c>
      <c r="H44">
        <v>418.38</v>
      </c>
      <c r="J44">
        <v>15.62</v>
      </c>
      <c r="K44">
        <v>29</v>
      </c>
    </row>
    <row r="45" spans="1:11" x14ac:dyDescent="0.25">
      <c r="A45" s="1">
        <v>44083</v>
      </c>
      <c r="B45">
        <v>2</v>
      </c>
      <c r="C45" t="s">
        <v>119</v>
      </c>
      <c r="D45" t="s">
        <v>126</v>
      </c>
      <c r="E45"/>
      <c r="F45"/>
      <c r="G45" t="s">
        <v>3</v>
      </c>
      <c r="H45">
        <v>162.91999999999999</v>
      </c>
      <c r="J45">
        <v>6.08</v>
      </c>
      <c r="K45">
        <v>29</v>
      </c>
    </row>
    <row r="46" spans="1:11" x14ac:dyDescent="0.25">
      <c r="A46" s="1">
        <v>44085</v>
      </c>
      <c r="B46">
        <v>2</v>
      </c>
      <c r="C46" t="s">
        <v>119</v>
      </c>
      <c r="D46" t="s">
        <v>126</v>
      </c>
      <c r="E46"/>
      <c r="F46"/>
      <c r="G46" t="s">
        <v>3</v>
      </c>
      <c r="H46">
        <v>162.91999999999999</v>
      </c>
      <c r="J46">
        <v>6.08</v>
      </c>
      <c r="K46">
        <v>29</v>
      </c>
    </row>
    <row r="47" spans="1:11" x14ac:dyDescent="0.25">
      <c r="A47" s="1">
        <v>44092</v>
      </c>
      <c r="B47">
        <v>2</v>
      </c>
      <c r="C47" t="s">
        <v>125</v>
      </c>
      <c r="D47" t="s">
        <v>126</v>
      </c>
      <c r="E47"/>
      <c r="F47"/>
      <c r="G47" t="s">
        <v>3</v>
      </c>
      <c r="H47">
        <v>182.2</v>
      </c>
      <c r="J47">
        <v>6.8</v>
      </c>
      <c r="K47">
        <v>29</v>
      </c>
    </row>
    <row r="48" spans="1:11" x14ac:dyDescent="0.25">
      <c r="B48"/>
      <c r="C48"/>
      <c r="D48"/>
      <c r="E48" t="s">
        <v>2</v>
      </c>
      <c r="F48"/>
      <c r="G48" t="s">
        <v>3</v>
      </c>
      <c r="H48">
        <v>0</v>
      </c>
      <c r="I48" t="s">
        <v>98</v>
      </c>
    </row>
    <row r="49" spans="2:9" x14ac:dyDescent="0.25">
      <c r="B49"/>
      <c r="C49"/>
      <c r="D49"/>
      <c r="E49" t="s">
        <v>2</v>
      </c>
      <c r="F49"/>
      <c r="G49" t="s">
        <v>3</v>
      </c>
      <c r="H49">
        <v>0</v>
      </c>
      <c r="I49" t="s">
        <v>101</v>
      </c>
    </row>
    <row r="50" spans="2:9" x14ac:dyDescent="0.25">
      <c r="B50"/>
      <c r="C50"/>
      <c r="D50"/>
      <c r="E50" t="s">
        <v>2</v>
      </c>
      <c r="F50"/>
      <c r="G50" t="s">
        <v>3</v>
      </c>
      <c r="H50">
        <v>0</v>
      </c>
      <c r="I50" t="s">
        <v>104</v>
      </c>
    </row>
    <row r="51" spans="2:9" x14ac:dyDescent="0.25">
      <c r="B51"/>
      <c r="C51"/>
      <c r="D51"/>
      <c r="E51" t="s">
        <v>105</v>
      </c>
      <c r="F51"/>
      <c r="G51" t="s">
        <v>3</v>
      </c>
      <c r="H51">
        <v>-28.97</v>
      </c>
    </row>
    <row r="52" spans="2:9" x14ac:dyDescent="0.25">
      <c r="B52"/>
      <c r="C52"/>
      <c r="D52"/>
      <c r="E52" t="s">
        <v>2</v>
      </c>
      <c r="F52"/>
      <c r="G52" t="s">
        <v>3</v>
      </c>
      <c r="H52">
        <v>0</v>
      </c>
      <c r="I52" t="s">
        <v>110</v>
      </c>
    </row>
    <row r="53" spans="2:9" x14ac:dyDescent="0.25">
      <c r="B53"/>
      <c r="C53"/>
      <c r="D53"/>
      <c r="E53" t="s">
        <v>2</v>
      </c>
      <c r="F53"/>
      <c r="G53" t="s">
        <v>3</v>
      </c>
      <c r="H53">
        <v>0</v>
      </c>
      <c r="I53" t="s">
        <v>114</v>
      </c>
    </row>
    <row r="54" spans="2:9" x14ac:dyDescent="0.25">
      <c r="B54"/>
      <c r="C54"/>
      <c r="D54"/>
      <c r="E54" t="s">
        <v>2</v>
      </c>
      <c r="F54"/>
      <c r="G54" t="s">
        <v>3</v>
      </c>
      <c r="H54">
        <v>0</v>
      </c>
      <c r="I54" t="s">
        <v>117</v>
      </c>
    </row>
    <row r="55" spans="2:9" x14ac:dyDescent="0.25">
      <c r="B55"/>
      <c r="C55"/>
      <c r="D55"/>
      <c r="E55" t="s">
        <v>118</v>
      </c>
      <c r="F55"/>
      <c r="G55" t="s">
        <v>3</v>
      </c>
      <c r="H55">
        <v>-30</v>
      </c>
    </row>
    <row r="56" spans="2:9" x14ac:dyDescent="0.25">
      <c r="B56"/>
      <c r="C56"/>
      <c r="D56"/>
      <c r="E56" t="s">
        <v>2</v>
      </c>
      <c r="F56"/>
      <c r="G56" t="s">
        <v>3</v>
      </c>
      <c r="H56">
        <v>0</v>
      </c>
      <c r="I56" t="s">
        <v>123</v>
      </c>
    </row>
    <row r="57" spans="2:9" x14ac:dyDescent="0.25">
      <c r="B57"/>
      <c r="C57"/>
      <c r="D57"/>
      <c r="E57" t="s">
        <v>2</v>
      </c>
      <c r="F57"/>
      <c r="G57" t="s">
        <v>3</v>
      </c>
      <c r="H57">
        <v>0</v>
      </c>
      <c r="I57" t="s">
        <v>17</v>
      </c>
    </row>
    <row r="58" spans="2:9" x14ac:dyDescent="0.25">
      <c r="B58"/>
      <c r="C58"/>
      <c r="D58"/>
      <c r="E58" t="s">
        <v>2</v>
      </c>
      <c r="F58"/>
      <c r="G58" t="s">
        <v>3</v>
      </c>
      <c r="H58">
        <v>0</v>
      </c>
      <c r="I58" t="s">
        <v>127</v>
      </c>
    </row>
    <row r="59" spans="2:9" x14ac:dyDescent="0.25">
      <c r="B59"/>
      <c r="C59"/>
      <c r="D59"/>
      <c r="E59" t="s">
        <v>2</v>
      </c>
      <c r="F59"/>
      <c r="G59" t="s">
        <v>3</v>
      </c>
      <c r="H59">
        <v>0</v>
      </c>
      <c r="I59" t="s">
        <v>129</v>
      </c>
    </row>
    <row r="60" spans="2:9" x14ac:dyDescent="0.25">
      <c r="B60"/>
      <c r="C60"/>
      <c r="D60"/>
      <c r="E60" t="s">
        <v>2</v>
      </c>
      <c r="F60"/>
      <c r="G60" t="s">
        <v>3</v>
      </c>
      <c r="H60">
        <v>0</v>
      </c>
      <c r="I60" t="s">
        <v>130</v>
      </c>
    </row>
    <row r="61" spans="2:9" x14ac:dyDescent="0.25">
      <c r="B61"/>
      <c r="C61"/>
      <c r="D61"/>
      <c r="E61" t="s">
        <v>2</v>
      </c>
      <c r="F61"/>
      <c r="G61" t="s">
        <v>3</v>
      </c>
      <c r="H61">
        <v>0</v>
      </c>
      <c r="I61" t="s">
        <v>131</v>
      </c>
    </row>
    <row r="62" spans="2:9" x14ac:dyDescent="0.25">
      <c r="B62"/>
      <c r="C62"/>
      <c r="D62"/>
      <c r="E62" t="s">
        <v>2</v>
      </c>
      <c r="F62"/>
      <c r="G62" t="s">
        <v>3</v>
      </c>
      <c r="H62">
        <v>0</v>
      </c>
      <c r="I62" t="s">
        <v>18</v>
      </c>
    </row>
    <row r="63" spans="2:9" x14ac:dyDescent="0.25">
      <c r="B63"/>
      <c r="C63"/>
      <c r="D63"/>
      <c r="E63" t="s">
        <v>2</v>
      </c>
      <c r="F63"/>
      <c r="G63" t="s">
        <v>3</v>
      </c>
      <c r="H63">
        <v>0</v>
      </c>
      <c r="I63" t="s">
        <v>132</v>
      </c>
    </row>
    <row r="64" spans="2:9" x14ac:dyDescent="0.25">
      <c r="B64"/>
      <c r="C64"/>
      <c r="D64"/>
      <c r="E64" t="s">
        <v>2</v>
      </c>
      <c r="F64"/>
      <c r="G64" t="s">
        <v>3</v>
      </c>
      <c r="H64">
        <v>0</v>
      </c>
      <c r="I64" t="s">
        <v>133</v>
      </c>
    </row>
    <row r="65" spans="2:9" x14ac:dyDescent="0.25">
      <c r="B65"/>
      <c r="C65"/>
      <c r="D65"/>
      <c r="E65" t="s">
        <v>2</v>
      </c>
      <c r="F65"/>
      <c r="G65" t="s">
        <v>3</v>
      </c>
      <c r="H65">
        <v>0</v>
      </c>
      <c r="I65" t="s">
        <v>134</v>
      </c>
    </row>
    <row r="66" spans="2:9" x14ac:dyDescent="0.25">
      <c r="B66"/>
      <c r="C66"/>
      <c r="D66"/>
      <c r="E66" t="s">
        <v>2</v>
      </c>
      <c r="F66"/>
      <c r="G66" t="s">
        <v>3</v>
      </c>
      <c r="H66">
        <v>0</v>
      </c>
      <c r="I66" t="s">
        <v>135</v>
      </c>
    </row>
    <row r="67" spans="2:9" x14ac:dyDescent="0.25">
      <c r="B67"/>
      <c r="C67"/>
      <c r="D67"/>
      <c r="E67" t="s">
        <v>2</v>
      </c>
      <c r="F67"/>
      <c r="G67" t="s">
        <v>3</v>
      </c>
      <c r="H67">
        <v>0</v>
      </c>
      <c r="I67" t="s">
        <v>136</v>
      </c>
    </row>
    <row r="68" spans="2:9" x14ac:dyDescent="0.25">
      <c r="B68"/>
      <c r="C68"/>
      <c r="D68"/>
      <c r="E68" t="s">
        <v>2</v>
      </c>
      <c r="F68"/>
      <c r="G68" t="s">
        <v>3</v>
      </c>
      <c r="H68">
        <v>0</v>
      </c>
      <c r="I68" t="s">
        <v>137</v>
      </c>
    </row>
    <row r="69" spans="2:9" x14ac:dyDescent="0.25">
      <c r="B69"/>
      <c r="C69"/>
      <c r="D69"/>
      <c r="E69" t="s">
        <v>2</v>
      </c>
      <c r="F69"/>
      <c r="G69" t="s">
        <v>3</v>
      </c>
      <c r="H69">
        <v>0</v>
      </c>
      <c r="I69" t="s">
        <v>138</v>
      </c>
    </row>
    <row r="70" spans="2:9" x14ac:dyDescent="0.25">
      <c r="B70"/>
      <c r="C70"/>
      <c r="D70"/>
      <c r="E70" t="s">
        <v>2</v>
      </c>
      <c r="F70"/>
      <c r="G70" t="s">
        <v>3</v>
      </c>
      <c r="H70">
        <v>0</v>
      </c>
      <c r="I70" t="s">
        <v>140</v>
      </c>
    </row>
    <row r="71" spans="2:9" x14ac:dyDescent="0.25">
      <c r="B71"/>
      <c r="C71"/>
      <c r="D71"/>
      <c r="E71" t="s">
        <v>2</v>
      </c>
      <c r="F71"/>
      <c r="G71" t="s">
        <v>3</v>
      </c>
      <c r="H71">
        <v>0</v>
      </c>
      <c r="I71" t="s">
        <v>141</v>
      </c>
    </row>
    <row r="72" spans="2:9" x14ac:dyDescent="0.25">
      <c r="B72"/>
      <c r="C72"/>
      <c r="D72"/>
      <c r="E72" t="s">
        <v>2</v>
      </c>
      <c r="F72"/>
      <c r="G72" t="s">
        <v>3</v>
      </c>
      <c r="H72">
        <v>0</v>
      </c>
      <c r="I72" t="s">
        <v>142</v>
      </c>
    </row>
    <row r="73" spans="2:9" x14ac:dyDescent="0.25">
      <c r="B73"/>
      <c r="C73"/>
      <c r="D73"/>
      <c r="E73" t="s">
        <v>2</v>
      </c>
      <c r="F73"/>
      <c r="G73" t="s">
        <v>3</v>
      </c>
      <c r="H73">
        <v>0</v>
      </c>
      <c r="I73" t="s">
        <v>143</v>
      </c>
    </row>
    <row r="74" spans="2:9" x14ac:dyDescent="0.25">
      <c r="B74"/>
      <c r="C74"/>
      <c r="D74"/>
      <c r="E74" t="s">
        <v>2</v>
      </c>
      <c r="F74"/>
      <c r="G74" t="s">
        <v>3</v>
      </c>
      <c r="H74">
        <v>0</v>
      </c>
      <c r="I74" t="s">
        <v>144</v>
      </c>
    </row>
    <row r="75" spans="2:9" x14ac:dyDescent="0.25">
      <c r="B75"/>
      <c r="C75"/>
      <c r="D75"/>
      <c r="E75" t="s">
        <v>2</v>
      </c>
      <c r="F75"/>
      <c r="G75" t="s">
        <v>3</v>
      </c>
      <c r="H75">
        <v>0</v>
      </c>
      <c r="I75" t="s">
        <v>145</v>
      </c>
    </row>
    <row r="76" spans="2:9" x14ac:dyDescent="0.25">
      <c r="B76"/>
      <c r="C76"/>
      <c r="D76"/>
      <c r="E76" t="s">
        <v>146</v>
      </c>
      <c r="F76"/>
      <c r="G76" t="s">
        <v>3</v>
      </c>
      <c r="H76">
        <v>-202.44</v>
      </c>
    </row>
    <row r="77" spans="2:9" x14ac:dyDescent="0.25">
      <c r="B77"/>
      <c r="C77"/>
      <c r="D77"/>
      <c r="E77" t="s">
        <v>2</v>
      </c>
      <c r="F77"/>
      <c r="G77" t="s">
        <v>3</v>
      </c>
      <c r="H77">
        <v>0</v>
      </c>
      <c r="I77" t="s">
        <v>147</v>
      </c>
    </row>
    <row r="78" spans="2:9" x14ac:dyDescent="0.25">
      <c r="B78"/>
      <c r="C78"/>
      <c r="D78"/>
      <c r="E78" t="s">
        <v>2</v>
      </c>
      <c r="F78"/>
      <c r="G78" t="s">
        <v>3</v>
      </c>
      <c r="H78">
        <v>0</v>
      </c>
      <c r="I78" t="s">
        <v>148</v>
      </c>
    </row>
    <row r="79" spans="2:9" x14ac:dyDescent="0.25">
      <c r="B79"/>
      <c r="C79"/>
      <c r="D79"/>
      <c r="E79" t="s">
        <v>2</v>
      </c>
      <c r="F79"/>
      <c r="G79" t="s">
        <v>3</v>
      </c>
      <c r="H79">
        <v>0</v>
      </c>
      <c r="I79" t="s">
        <v>149</v>
      </c>
    </row>
    <row r="80" spans="2:9" x14ac:dyDescent="0.25">
      <c r="B80"/>
      <c r="C80"/>
      <c r="D80"/>
      <c r="E80" t="s">
        <v>150</v>
      </c>
      <c r="F80"/>
      <c r="G80" t="s">
        <v>3</v>
      </c>
      <c r="H80">
        <v>-260</v>
      </c>
    </row>
    <row r="81" spans="2:8" x14ac:dyDescent="0.25">
      <c r="B81"/>
      <c r="C81"/>
      <c r="D81"/>
      <c r="E81"/>
      <c r="F81"/>
      <c r="G81"/>
      <c r="H81"/>
    </row>
    <row r="82" spans="2:8" x14ac:dyDescent="0.25">
      <c r="B82"/>
      <c r="C82"/>
      <c r="D82"/>
      <c r="E82"/>
      <c r="F82"/>
      <c r="G82"/>
      <c r="H82"/>
    </row>
    <row r="83" spans="2:8" x14ac:dyDescent="0.25">
      <c r="B83"/>
      <c r="C83"/>
      <c r="D83"/>
      <c r="E83"/>
      <c r="F83"/>
      <c r="G83"/>
      <c r="H83"/>
    </row>
    <row r="84" spans="2:8" x14ac:dyDescent="0.25">
      <c r="B84"/>
      <c r="C84"/>
      <c r="D84"/>
      <c r="E84"/>
      <c r="F84"/>
      <c r="G84"/>
      <c r="H84"/>
    </row>
    <row r="85" spans="2:8" x14ac:dyDescent="0.25">
      <c r="B85"/>
      <c r="C85"/>
      <c r="D85"/>
      <c r="E85"/>
      <c r="F85"/>
      <c r="G85"/>
      <c r="H85"/>
    </row>
    <row r="86" spans="2:8" x14ac:dyDescent="0.25">
      <c r="B86"/>
      <c r="C86"/>
      <c r="D86"/>
      <c r="E86"/>
      <c r="F86"/>
      <c r="G86"/>
      <c r="H86"/>
    </row>
    <row r="87" spans="2:8" x14ac:dyDescent="0.25">
      <c r="B87"/>
      <c r="C87"/>
      <c r="D87"/>
      <c r="E87"/>
      <c r="F87"/>
      <c r="G87"/>
      <c r="H87"/>
    </row>
    <row r="88" spans="2:8" x14ac:dyDescent="0.25">
      <c r="B88"/>
      <c r="C88"/>
      <c r="D88"/>
      <c r="E88"/>
      <c r="F88"/>
      <c r="G88"/>
      <c r="H88"/>
    </row>
    <row r="89" spans="2:8" x14ac:dyDescent="0.25">
      <c r="B89"/>
      <c r="C89"/>
      <c r="D89"/>
      <c r="E89"/>
      <c r="F89"/>
      <c r="G89"/>
      <c r="H89"/>
    </row>
    <row r="90" spans="2:8" x14ac:dyDescent="0.25">
      <c r="B90"/>
      <c r="C90"/>
      <c r="D90"/>
      <c r="E90"/>
      <c r="F90"/>
      <c r="G90"/>
      <c r="H90"/>
    </row>
    <row r="91" spans="2:8" x14ac:dyDescent="0.25">
      <c r="B91"/>
      <c r="C91"/>
      <c r="D91"/>
      <c r="E91"/>
      <c r="F91"/>
      <c r="G91"/>
      <c r="H91"/>
    </row>
    <row r="92" spans="2:8" x14ac:dyDescent="0.25">
      <c r="B92"/>
      <c r="C92"/>
      <c r="D92"/>
      <c r="E92"/>
      <c r="F92"/>
      <c r="G92"/>
      <c r="H92"/>
    </row>
    <row r="93" spans="2:8" x14ac:dyDescent="0.25">
      <c r="B93"/>
      <c r="C93"/>
      <c r="D93"/>
      <c r="E93"/>
      <c r="F93"/>
      <c r="G93"/>
      <c r="H93"/>
    </row>
    <row r="94" spans="2:8" x14ac:dyDescent="0.25">
      <c r="B94"/>
      <c r="C94"/>
      <c r="D94"/>
      <c r="E94"/>
      <c r="F94"/>
      <c r="G94"/>
      <c r="H94"/>
    </row>
    <row r="95" spans="2:8" x14ac:dyDescent="0.25">
      <c r="B95"/>
      <c r="C95"/>
      <c r="D95"/>
      <c r="E95"/>
      <c r="F95"/>
      <c r="G95"/>
      <c r="H95"/>
    </row>
    <row r="96" spans="2:8" x14ac:dyDescent="0.25">
      <c r="B96"/>
      <c r="C96"/>
      <c r="D96"/>
      <c r="E96"/>
      <c r="F96"/>
      <c r="G96"/>
      <c r="H96"/>
    </row>
    <row r="97" spans="2:8" x14ac:dyDescent="0.25">
      <c r="B97"/>
      <c r="C97"/>
      <c r="D97"/>
      <c r="E97"/>
      <c r="F97"/>
      <c r="G97"/>
      <c r="H97"/>
    </row>
    <row r="98" spans="2:8" x14ac:dyDescent="0.25">
      <c r="B98"/>
      <c r="C98"/>
      <c r="D98"/>
      <c r="E98"/>
      <c r="F98"/>
      <c r="G98"/>
      <c r="H98"/>
    </row>
    <row r="99" spans="2:8" x14ac:dyDescent="0.25">
      <c r="B99"/>
      <c r="C99"/>
      <c r="D99"/>
      <c r="E99"/>
      <c r="F99"/>
      <c r="G99"/>
      <c r="H99"/>
    </row>
    <row r="100" spans="2:8" x14ac:dyDescent="0.25">
      <c r="B100"/>
      <c r="C100"/>
      <c r="D100"/>
      <c r="E100"/>
      <c r="F100"/>
      <c r="G100"/>
      <c r="H100"/>
    </row>
    <row r="101" spans="2:8" x14ac:dyDescent="0.25">
      <c r="B101"/>
      <c r="C101"/>
      <c r="D101"/>
      <c r="E101"/>
      <c r="F101"/>
      <c r="G101"/>
      <c r="H101"/>
    </row>
    <row r="102" spans="2:8" x14ac:dyDescent="0.25">
      <c r="B102"/>
      <c r="C102"/>
      <c r="D102"/>
      <c r="E102"/>
      <c r="F102"/>
      <c r="G102"/>
      <c r="H102"/>
    </row>
    <row r="103" spans="2:8" x14ac:dyDescent="0.25">
      <c r="B103"/>
      <c r="C103"/>
      <c r="D103"/>
      <c r="E103"/>
      <c r="F103"/>
      <c r="G103"/>
      <c r="H103"/>
    </row>
    <row r="104" spans="2:8" x14ac:dyDescent="0.25">
      <c r="B104"/>
      <c r="C104"/>
      <c r="D104"/>
      <c r="E104"/>
      <c r="F104"/>
      <c r="G104"/>
      <c r="H104"/>
    </row>
    <row r="105" spans="2:8" x14ac:dyDescent="0.25">
      <c r="B105"/>
      <c r="C105"/>
      <c r="D105"/>
      <c r="E105"/>
      <c r="F105"/>
      <c r="G105"/>
      <c r="H105"/>
    </row>
    <row r="106" spans="2:8" x14ac:dyDescent="0.25">
      <c r="B106"/>
      <c r="C106"/>
      <c r="D106"/>
      <c r="E106"/>
      <c r="F106"/>
      <c r="G106"/>
      <c r="H106"/>
    </row>
    <row r="107" spans="2:8" x14ac:dyDescent="0.25">
      <c r="B107"/>
      <c r="C107"/>
      <c r="D107"/>
      <c r="E107"/>
      <c r="F107"/>
      <c r="G107"/>
      <c r="H107"/>
    </row>
    <row r="108" spans="2:8" x14ac:dyDescent="0.25">
      <c r="B108"/>
      <c r="C108"/>
      <c r="D108"/>
      <c r="E108"/>
      <c r="F108"/>
      <c r="G108"/>
      <c r="H108"/>
    </row>
    <row r="109" spans="2:8" x14ac:dyDescent="0.25">
      <c r="B109"/>
      <c r="C109"/>
      <c r="D109"/>
      <c r="E109"/>
      <c r="F109"/>
      <c r="G109"/>
      <c r="H109"/>
    </row>
    <row r="110" spans="2:8" x14ac:dyDescent="0.25">
      <c r="B110"/>
      <c r="C110"/>
      <c r="D110"/>
      <c r="E110"/>
      <c r="F110"/>
      <c r="G110"/>
      <c r="H110"/>
    </row>
    <row r="111" spans="2:8" x14ac:dyDescent="0.25">
      <c r="B111"/>
      <c r="C111"/>
      <c r="D111"/>
      <c r="E111"/>
      <c r="F111"/>
      <c r="G111"/>
      <c r="H111"/>
    </row>
    <row r="112" spans="2:8" x14ac:dyDescent="0.25">
      <c r="B112"/>
      <c r="C112"/>
      <c r="D112"/>
      <c r="E112"/>
      <c r="F112"/>
      <c r="G112"/>
      <c r="H112"/>
    </row>
    <row r="113" spans="2:8" x14ac:dyDescent="0.25">
      <c r="B113"/>
      <c r="C113"/>
      <c r="D113"/>
      <c r="E113"/>
      <c r="F113"/>
      <c r="G113"/>
      <c r="H113"/>
    </row>
    <row r="114" spans="2:8" x14ac:dyDescent="0.25">
      <c r="B114"/>
      <c r="C114"/>
      <c r="D114"/>
      <c r="E114"/>
      <c r="F114"/>
      <c r="G114"/>
      <c r="H114"/>
    </row>
    <row r="115" spans="2:8" x14ac:dyDescent="0.25">
      <c r="B115"/>
      <c r="C115"/>
      <c r="D115"/>
      <c r="E115"/>
      <c r="F115"/>
      <c r="G115"/>
      <c r="H115"/>
    </row>
    <row r="116" spans="2:8" x14ac:dyDescent="0.25">
      <c r="B116"/>
      <c r="C116"/>
      <c r="D116"/>
      <c r="E116"/>
      <c r="F116"/>
      <c r="G116"/>
      <c r="H116"/>
    </row>
    <row r="117" spans="2:8" x14ac:dyDescent="0.25">
      <c r="B117"/>
      <c r="C117"/>
      <c r="D117"/>
      <c r="E117"/>
      <c r="F117"/>
      <c r="G117"/>
      <c r="H117"/>
    </row>
    <row r="118" spans="2:8" x14ac:dyDescent="0.25">
      <c r="B118"/>
      <c r="C118"/>
      <c r="D118"/>
      <c r="E118"/>
      <c r="F118"/>
      <c r="G118"/>
      <c r="H118"/>
    </row>
    <row r="119" spans="2:8" x14ac:dyDescent="0.25">
      <c r="B119"/>
      <c r="C119"/>
      <c r="D119"/>
      <c r="E119"/>
      <c r="F119"/>
      <c r="G119"/>
      <c r="H119"/>
    </row>
    <row r="120" spans="2:8" x14ac:dyDescent="0.25">
      <c r="B120"/>
      <c r="C120"/>
      <c r="D120"/>
      <c r="E120"/>
      <c r="F120"/>
      <c r="G120"/>
      <c r="H120"/>
    </row>
    <row r="121" spans="2:8" x14ac:dyDescent="0.25">
      <c r="B121"/>
      <c r="C121"/>
      <c r="D121"/>
      <c r="E121"/>
      <c r="F121"/>
      <c r="G121"/>
      <c r="H121"/>
    </row>
    <row r="122" spans="2:8" x14ac:dyDescent="0.25">
      <c r="B122"/>
      <c r="C122"/>
      <c r="D122"/>
      <c r="E122"/>
      <c r="F122"/>
      <c r="G122"/>
      <c r="H122"/>
    </row>
    <row r="123" spans="2:8" x14ac:dyDescent="0.25">
      <c r="B123"/>
      <c r="C123"/>
      <c r="D123"/>
      <c r="E123"/>
      <c r="F123"/>
      <c r="G123"/>
      <c r="H123"/>
    </row>
    <row r="124" spans="2:8" x14ac:dyDescent="0.25">
      <c r="B124"/>
      <c r="C124"/>
      <c r="D124"/>
      <c r="E124"/>
      <c r="F124"/>
      <c r="G124"/>
      <c r="H124"/>
    </row>
    <row r="125" spans="2:8" x14ac:dyDescent="0.25">
      <c r="B125"/>
      <c r="C125"/>
      <c r="D125"/>
      <c r="E125"/>
      <c r="F125"/>
      <c r="G125"/>
      <c r="H125"/>
    </row>
    <row r="126" spans="2:8" x14ac:dyDescent="0.25">
      <c r="B126"/>
      <c r="C126"/>
      <c r="D126"/>
      <c r="E126"/>
      <c r="F126"/>
      <c r="G126"/>
      <c r="H126"/>
    </row>
    <row r="127" spans="2:8" x14ac:dyDescent="0.25">
      <c r="B127"/>
      <c r="C127"/>
      <c r="D127"/>
      <c r="E127"/>
      <c r="F127"/>
      <c r="G127"/>
      <c r="H127"/>
    </row>
    <row r="128" spans="2:8" x14ac:dyDescent="0.25">
      <c r="B128"/>
      <c r="C128"/>
      <c r="D128"/>
      <c r="E128"/>
      <c r="F128"/>
      <c r="G128"/>
      <c r="H128"/>
    </row>
    <row r="129" spans="2:8" x14ac:dyDescent="0.25">
      <c r="B129"/>
      <c r="C129"/>
      <c r="D129"/>
      <c r="E129"/>
      <c r="F129"/>
      <c r="G129"/>
      <c r="H129"/>
    </row>
    <row r="130" spans="2:8" x14ac:dyDescent="0.25">
      <c r="B130"/>
      <c r="C130"/>
      <c r="D130"/>
      <c r="E130"/>
      <c r="F130"/>
      <c r="G130"/>
      <c r="H130"/>
    </row>
    <row r="131" spans="2:8" x14ac:dyDescent="0.25">
      <c r="B131"/>
      <c r="C131"/>
      <c r="D131"/>
      <c r="E131"/>
      <c r="F131"/>
      <c r="G131"/>
      <c r="H131"/>
    </row>
    <row r="132" spans="2:8" x14ac:dyDescent="0.25">
      <c r="B132"/>
      <c r="C132"/>
      <c r="D132"/>
      <c r="E132"/>
      <c r="F132"/>
      <c r="G132"/>
      <c r="H132"/>
    </row>
    <row r="133" spans="2:8" x14ac:dyDescent="0.25">
      <c r="B133"/>
      <c r="C133"/>
      <c r="D133"/>
      <c r="E133"/>
      <c r="F133"/>
      <c r="G133"/>
      <c r="H133"/>
    </row>
    <row r="134" spans="2:8" x14ac:dyDescent="0.25">
      <c r="B134"/>
      <c r="C134"/>
      <c r="D134"/>
      <c r="E134"/>
      <c r="F134"/>
      <c r="G134"/>
      <c r="H134"/>
    </row>
    <row r="135" spans="2:8" x14ac:dyDescent="0.25">
      <c r="B135"/>
      <c r="C135"/>
      <c r="D135"/>
      <c r="E135"/>
      <c r="F135"/>
      <c r="G135"/>
      <c r="H135"/>
    </row>
    <row r="136" spans="2:8" x14ac:dyDescent="0.25">
      <c r="B136"/>
      <c r="C136"/>
      <c r="D136"/>
      <c r="E136"/>
      <c r="F136"/>
      <c r="G136"/>
      <c r="H136"/>
    </row>
    <row r="137" spans="2:8" x14ac:dyDescent="0.25">
      <c r="B137"/>
      <c r="C137"/>
      <c r="D137"/>
      <c r="E137"/>
      <c r="F137"/>
      <c r="G137"/>
      <c r="H137"/>
    </row>
    <row r="138" spans="2:8" x14ac:dyDescent="0.25">
      <c r="B138"/>
      <c r="C138"/>
      <c r="D138"/>
      <c r="E138"/>
      <c r="F138"/>
      <c r="G138"/>
      <c r="H138"/>
    </row>
    <row r="139" spans="2:8" x14ac:dyDescent="0.25">
      <c r="B139"/>
      <c r="C139"/>
      <c r="D139"/>
      <c r="E139"/>
      <c r="F139"/>
      <c r="G139"/>
      <c r="H139"/>
    </row>
    <row r="140" spans="2:8" x14ac:dyDescent="0.25">
      <c r="B140"/>
      <c r="C140"/>
      <c r="D140"/>
      <c r="E140"/>
      <c r="F140"/>
      <c r="G140"/>
      <c r="H140"/>
    </row>
    <row r="141" spans="2:8" x14ac:dyDescent="0.25">
      <c r="B141"/>
      <c r="C141"/>
      <c r="D141"/>
      <c r="E141"/>
      <c r="F141"/>
      <c r="G141"/>
      <c r="H141"/>
    </row>
    <row r="142" spans="2:8" x14ac:dyDescent="0.25">
      <c r="B142"/>
      <c r="C142"/>
      <c r="D142"/>
      <c r="E142"/>
      <c r="F142"/>
      <c r="G142"/>
      <c r="H142"/>
    </row>
    <row r="143" spans="2:8" x14ac:dyDescent="0.25">
      <c r="B143"/>
      <c r="C143"/>
      <c r="D143"/>
      <c r="E143"/>
      <c r="F143"/>
      <c r="G143"/>
      <c r="H143"/>
    </row>
    <row r="144" spans="2:8" x14ac:dyDescent="0.25">
      <c r="B144"/>
      <c r="C144"/>
      <c r="D144"/>
      <c r="E144"/>
      <c r="F144"/>
      <c r="G144"/>
      <c r="H144"/>
    </row>
    <row r="145" spans="2:8" x14ac:dyDescent="0.25">
      <c r="B145"/>
      <c r="C145"/>
      <c r="D145"/>
      <c r="E145"/>
      <c r="F145"/>
      <c r="G145"/>
      <c r="H145"/>
    </row>
    <row r="146" spans="2:8" x14ac:dyDescent="0.25">
      <c r="B146"/>
      <c r="C146"/>
      <c r="D146"/>
      <c r="E146"/>
      <c r="F146"/>
      <c r="G146"/>
      <c r="H146"/>
    </row>
    <row r="147" spans="2:8" x14ac:dyDescent="0.25">
      <c r="B147"/>
      <c r="C147"/>
      <c r="D147"/>
      <c r="E147"/>
      <c r="F147"/>
      <c r="G147"/>
      <c r="H147"/>
    </row>
    <row r="148" spans="2:8" x14ac:dyDescent="0.25">
      <c r="B148"/>
      <c r="C148"/>
      <c r="D148"/>
      <c r="E148"/>
      <c r="F148"/>
      <c r="G148"/>
      <c r="H148"/>
    </row>
    <row r="149" spans="2:8" x14ac:dyDescent="0.25">
      <c r="B149"/>
      <c r="C149"/>
      <c r="D149"/>
      <c r="E149"/>
      <c r="F149"/>
      <c r="G149"/>
      <c r="H149"/>
    </row>
    <row r="150" spans="2:8" x14ac:dyDescent="0.25">
      <c r="B150"/>
      <c r="C150"/>
      <c r="D150"/>
      <c r="E150"/>
      <c r="F150"/>
      <c r="G150"/>
      <c r="H150"/>
    </row>
    <row r="151" spans="2:8" x14ac:dyDescent="0.25">
      <c r="B151"/>
      <c r="C151"/>
      <c r="D151"/>
      <c r="E151"/>
      <c r="F151"/>
      <c r="G151"/>
      <c r="H151"/>
    </row>
    <row r="152" spans="2:8" x14ac:dyDescent="0.25">
      <c r="B152"/>
      <c r="C152"/>
      <c r="D152"/>
      <c r="E152"/>
      <c r="F152"/>
      <c r="G152"/>
      <c r="H152"/>
    </row>
    <row r="153" spans="2:8" x14ac:dyDescent="0.25">
      <c r="B153"/>
      <c r="C153"/>
      <c r="D153"/>
      <c r="E153"/>
      <c r="F153"/>
      <c r="G153"/>
      <c r="H153"/>
    </row>
    <row r="154" spans="2:8" x14ac:dyDescent="0.25">
      <c r="B154"/>
      <c r="C154"/>
      <c r="D154"/>
      <c r="E154"/>
      <c r="F154"/>
      <c r="G154"/>
      <c r="H154"/>
    </row>
    <row r="155" spans="2:8" x14ac:dyDescent="0.25">
      <c r="B155"/>
      <c r="C155"/>
      <c r="D155"/>
      <c r="E155"/>
      <c r="F155"/>
      <c r="G155"/>
      <c r="H155"/>
    </row>
    <row r="156" spans="2:8" x14ac:dyDescent="0.25">
      <c r="B156"/>
      <c r="C156"/>
      <c r="D156"/>
      <c r="E156"/>
      <c r="F156"/>
      <c r="G156"/>
      <c r="H156"/>
    </row>
    <row r="157" spans="2:8" x14ac:dyDescent="0.25">
      <c r="B157"/>
      <c r="C157"/>
      <c r="D157"/>
      <c r="E157"/>
      <c r="F157"/>
      <c r="G157"/>
      <c r="H157"/>
    </row>
    <row r="158" spans="2:8" x14ac:dyDescent="0.25">
      <c r="B158"/>
      <c r="C158"/>
      <c r="D158"/>
      <c r="E158"/>
      <c r="F158"/>
      <c r="G158"/>
      <c r="H158"/>
    </row>
    <row r="159" spans="2:8" x14ac:dyDescent="0.25">
      <c r="B159"/>
      <c r="C159"/>
      <c r="D159"/>
      <c r="E159"/>
      <c r="F159"/>
      <c r="G159"/>
      <c r="H159"/>
    </row>
    <row r="160" spans="2:8" x14ac:dyDescent="0.25">
      <c r="B160"/>
      <c r="C160"/>
      <c r="D160"/>
      <c r="E160"/>
      <c r="F160"/>
      <c r="G160"/>
      <c r="H160"/>
    </row>
    <row r="161" spans="2:8" x14ac:dyDescent="0.25">
      <c r="B161"/>
      <c r="C161"/>
      <c r="D161"/>
      <c r="E161"/>
      <c r="F161"/>
      <c r="G161"/>
      <c r="H161"/>
    </row>
    <row r="162" spans="2:8" x14ac:dyDescent="0.25">
      <c r="B162"/>
      <c r="C162"/>
      <c r="D162"/>
      <c r="E162"/>
      <c r="F162"/>
      <c r="G162"/>
      <c r="H162"/>
    </row>
    <row r="163" spans="2:8" x14ac:dyDescent="0.25">
      <c r="B163"/>
      <c r="C163"/>
      <c r="D163"/>
      <c r="E163"/>
      <c r="F163"/>
      <c r="G163"/>
      <c r="H163"/>
    </row>
    <row r="164" spans="2:8" x14ac:dyDescent="0.25">
      <c r="B164"/>
      <c r="C164"/>
      <c r="D164"/>
      <c r="E164"/>
      <c r="F164"/>
      <c r="G164"/>
      <c r="H164"/>
    </row>
    <row r="165" spans="2:8" x14ac:dyDescent="0.25">
      <c r="B165"/>
      <c r="C165"/>
      <c r="D165"/>
      <c r="E165"/>
      <c r="F165"/>
      <c r="G165"/>
      <c r="H165"/>
    </row>
    <row r="166" spans="2:8" x14ac:dyDescent="0.25">
      <c r="B166"/>
      <c r="C166"/>
      <c r="D166"/>
      <c r="E166"/>
      <c r="F166"/>
      <c r="G166"/>
      <c r="H166"/>
    </row>
    <row r="167" spans="2:8" x14ac:dyDescent="0.25">
      <c r="B167"/>
      <c r="C167"/>
      <c r="D167"/>
      <c r="E167"/>
      <c r="F167"/>
      <c r="G167"/>
      <c r="H167"/>
    </row>
    <row r="168" spans="2:8" x14ac:dyDescent="0.25">
      <c r="B168"/>
      <c r="C168"/>
      <c r="D168"/>
      <c r="E168"/>
      <c r="F168"/>
      <c r="G168"/>
      <c r="H168"/>
    </row>
    <row r="169" spans="2:8" x14ac:dyDescent="0.25">
      <c r="B169"/>
      <c r="C169"/>
      <c r="D169"/>
      <c r="E169"/>
      <c r="F169"/>
      <c r="G169"/>
      <c r="H169"/>
    </row>
    <row r="170" spans="2:8" x14ac:dyDescent="0.25">
      <c r="B170"/>
      <c r="C170"/>
      <c r="D170"/>
      <c r="E170"/>
      <c r="F170"/>
      <c r="G170"/>
      <c r="H170"/>
    </row>
    <row r="171" spans="2:8" x14ac:dyDescent="0.25">
      <c r="B171"/>
      <c r="C171"/>
      <c r="D171"/>
      <c r="E171"/>
      <c r="F171"/>
      <c r="G171"/>
      <c r="H171"/>
    </row>
    <row r="172" spans="2:8" x14ac:dyDescent="0.25">
      <c r="B172"/>
      <c r="C172"/>
      <c r="D172"/>
      <c r="E172"/>
      <c r="F172"/>
      <c r="G172"/>
      <c r="H172"/>
    </row>
    <row r="173" spans="2:8" x14ac:dyDescent="0.25">
      <c r="B173"/>
      <c r="C173"/>
      <c r="D173"/>
      <c r="E173"/>
      <c r="F173"/>
      <c r="G173"/>
      <c r="H173"/>
    </row>
    <row r="174" spans="2:8" x14ac:dyDescent="0.25">
      <c r="B174"/>
      <c r="C174"/>
      <c r="D174"/>
      <c r="E174"/>
      <c r="F174"/>
      <c r="G174"/>
      <c r="H174"/>
    </row>
    <row r="175" spans="2:8" x14ac:dyDescent="0.25">
      <c r="B175"/>
      <c r="C175"/>
      <c r="D175"/>
      <c r="E175"/>
      <c r="F175"/>
      <c r="G175"/>
      <c r="H175"/>
    </row>
    <row r="176" spans="2:8" x14ac:dyDescent="0.25">
      <c r="B176"/>
      <c r="C176"/>
      <c r="D176"/>
      <c r="E176"/>
      <c r="F176"/>
      <c r="G176"/>
      <c r="H176"/>
    </row>
    <row r="177" spans="2:8" x14ac:dyDescent="0.25">
      <c r="B177"/>
      <c r="C177"/>
      <c r="D177"/>
      <c r="E177"/>
      <c r="F177"/>
      <c r="G177"/>
      <c r="H177"/>
    </row>
    <row r="178" spans="2:8" x14ac:dyDescent="0.25">
      <c r="B178"/>
      <c r="C178"/>
      <c r="D178"/>
      <c r="E178"/>
      <c r="F178"/>
      <c r="G178"/>
      <c r="H178"/>
    </row>
    <row r="179" spans="2:8" x14ac:dyDescent="0.25">
      <c r="B179"/>
      <c r="C179"/>
      <c r="D179"/>
      <c r="E179"/>
      <c r="F179"/>
      <c r="G179"/>
      <c r="H179"/>
    </row>
    <row r="180" spans="2:8" x14ac:dyDescent="0.25">
      <c r="B180"/>
      <c r="C180"/>
      <c r="D180"/>
      <c r="E180"/>
      <c r="F180"/>
      <c r="G180"/>
      <c r="H180"/>
    </row>
    <row r="181" spans="2:8" x14ac:dyDescent="0.25">
      <c r="B181"/>
      <c r="C181"/>
      <c r="D181"/>
      <c r="E181"/>
      <c r="F181"/>
      <c r="G181"/>
      <c r="H181"/>
    </row>
    <row r="182" spans="2:8" x14ac:dyDescent="0.25">
      <c r="B182"/>
      <c r="C182"/>
      <c r="D182"/>
      <c r="E182"/>
      <c r="F182"/>
      <c r="G182"/>
      <c r="H182"/>
    </row>
    <row r="183" spans="2:8" x14ac:dyDescent="0.25">
      <c r="B183"/>
      <c r="C183"/>
      <c r="D183"/>
      <c r="E183"/>
      <c r="F183"/>
      <c r="G183"/>
      <c r="H183"/>
    </row>
    <row r="184" spans="2:8" x14ac:dyDescent="0.25">
      <c r="B184"/>
      <c r="C184"/>
      <c r="D184"/>
      <c r="E184"/>
      <c r="F184"/>
      <c r="G184"/>
      <c r="H184"/>
    </row>
    <row r="185" spans="2:8" x14ac:dyDescent="0.25">
      <c r="B185"/>
      <c r="C185"/>
      <c r="D185"/>
      <c r="E185"/>
      <c r="F185"/>
      <c r="G185"/>
      <c r="H185"/>
    </row>
    <row r="186" spans="2:8" x14ac:dyDescent="0.25">
      <c r="B186"/>
      <c r="C186"/>
      <c r="D186"/>
      <c r="E186"/>
      <c r="F186"/>
      <c r="G186"/>
      <c r="H186"/>
    </row>
    <row r="187" spans="2:8" x14ac:dyDescent="0.25">
      <c r="B187"/>
      <c r="C187"/>
      <c r="D187"/>
      <c r="E187"/>
      <c r="F187"/>
      <c r="G187"/>
      <c r="H187"/>
    </row>
    <row r="188" spans="2:8" x14ac:dyDescent="0.25">
      <c r="B188"/>
      <c r="C188"/>
      <c r="D188"/>
      <c r="E188"/>
      <c r="F188"/>
      <c r="G188"/>
      <c r="H188"/>
    </row>
    <row r="189" spans="2:8" x14ac:dyDescent="0.25">
      <c r="B189"/>
      <c r="C189"/>
      <c r="D189"/>
      <c r="E189"/>
      <c r="F189"/>
      <c r="G189"/>
      <c r="H189"/>
    </row>
    <row r="190" spans="2:8" x14ac:dyDescent="0.25">
      <c r="B190"/>
      <c r="C190"/>
      <c r="D190"/>
      <c r="E190"/>
      <c r="F190"/>
      <c r="G190"/>
      <c r="H190"/>
    </row>
    <row r="191" spans="2:8" x14ac:dyDescent="0.25">
      <c r="B191"/>
      <c r="C191"/>
      <c r="D191"/>
      <c r="E191"/>
      <c r="F191"/>
      <c r="G191"/>
      <c r="H191"/>
    </row>
    <row r="192" spans="2:8" x14ac:dyDescent="0.25">
      <c r="B192"/>
      <c r="C192"/>
      <c r="D192"/>
      <c r="E192"/>
      <c r="F192"/>
      <c r="G192"/>
      <c r="H192"/>
    </row>
    <row r="193" spans="2:8" x14ac:dyDescent="0.25">
      <c r="B193"/>
      <c r="C193"/>
      <c r="D193"/>
      <c r="E193"/>
      <c r="F193"/>
      <c r="G193"/>
      <c r="H193"/>
    </row>
    <row r="194" spans="2:8" x14ac:dyDescent="0.25">
      <c r="B194"/>
      <c r="C194"/>
      <c r="D194"/>
      <c r="E194"/>
      <c r="F194"/>
      <c r="G194"/>
      <c r="H194"/>
    </row>
    <row r="195" spans="2:8" x14ac:dyDescent="0.25">
      <c r="B195"/>
      <c r="C195"/>
      <c r="D195"/>
      <c r="E195"/>
      <c r="F195"/>
      <c r="G195"/>
      <c r="H195"/>
    </row>
    <row r="196" spans="2:8" x14ac:dyDescent="0.25">
      <c r="B196"/>
      <c r="C196"/>
      <c r="D196"/>
      <c r="E196"/>
      <c r="F196"/>
      <c r="G196"/>
      <c r="H196"/>
    </row>
    <row r="197" spans="2:8" x14ac:dyDescent="0.25">
      <c r="B197"/>
      <c r="C197"/>
      <c r="D197"/>
      <c r="E197"/>
      <c r="F197"/>
      <c r="G197"/>
      <c r="H197"/>
    </row>
    <row r="198" spans="2:8" x14ac:dyDescent="0.25">
      <c r="B198"/>
      <c r="C198"/>
      <c r="D198"/>
      <c r="E198"/>
      <c r="F198"/>
      <c r="G198"/>
      <c r="H198"/>
    </row>
    <row r="199" spans="2:8" x14ac:dyDescent="0.25">
      <c r="B199"/>
      <c r="C199"/>
      <c r="D199"/>
      <c r="E199"/>
      <c r="F199"/>
      <c r="G199"/>
      <c r="H199"/>
    </row>
    <row r="200" spans="2:8" x14ac:dyDescent="0.25">
      <c r="B200"/>
      <c r="C200"/>
      <c r="D200"/>
      <c r="E200"/>
      <c r="F200"/>
      <c r="G200"/>
      <c r="H200"/>
    </row>
    <row r="201" spans="2:8" x14ac:dyDescent="0.25">
      <c r="B201"/>
      <c r="C201"/>
      <c r="D201"/>
      <c r="E201"/>
      <c r="F201"/>
      <c r="G201"/>
      <c r="H201"/>
    </row>
    <row r="202" spans="2:8" x14ac:dyDescent="0.25">
      <c r="B202"/>
      <c r="C202"/>
      <c r="D202"/>
      <c r="E202"/>
      <c r="F202"/>
      <c r="G202"/>
      <c r="H202"/>
    </row>
    <row r="203" spans="2:8" x14ac:dyDescent="0.25">
      <c r="B203"/>
      <c r="C203"/>
      <c r="D203"/>
      <c r="E203"/>
      <c r="F203"/>
      <c r="G203"/>
      <c r="H203"/>
    </row>
    <row r="204" spans="2:8" x14ac:dyDescent="0.25">
      <c r="B204"/>
      <c r="C204"/>
      <c r="D204"/>
      <c r="E204"/>
      <c r="F204"/>
      <c r="G204"/>
      <c r="H204"/>
    </row>
    <row r="205" spans="2:8" x14ac:dyDescent="0.25">
      <c r="B205"/>
      <c r="C205"/>
      <c r="D205"/>
      <c r="E205"/>
      <c r="F205"/>
      <c r="G205"/>
      <c r="H205"/>
    </row>
    <row r="206" spans="2:8" x14ac:dyDescent="0.25">
      <c r="B206"/>
      <c r="C206"/>
      <c r="D206"/>
      <c r="E206"/>
      <c r="F206"/>
      <c r="G206"/>
      <c r="H206"/>
    </row>
    <row r="207" spans="2:8" x14ac:dyDescent="0.25">
      <c r="B207"/>
      <c r="C207"/>
      <c r="D207"/>
      <c r="E207"/>
      <c r="F207"/>
      <c r="G207"/>
      <c r="H207"/>
    </row>
    <row r="208" spans="2:8" x14ac:dyDescent="0.25">
      <c r="B208"/>
      <c r="C208"/>
      <c r="D208"/>
      <c r="E208"/>
      <c r="F208"/>
      <c r="G208"/>
      <c r="H208"/>
    </row>
    <row r="209" spans="2:8" x14ac:dyDescent="0.25">
      <c r="B209"/>
      <c r="C209"/>
      <c r="D209"/>
      <c r="E209"/>
      <c r="F209"/>
      <c r="G209"/>
      <c r="H209"/>
    </row>
    <row r="210" spans="2:8" x14ac:dyDescent="0.25">
      <c r="B210"/>
      <c r="C210"/>
      <c r="D210"/>
      <c r="E210"/>
      <c r="F210"/>
      <c r="G210"/>
      <c r="H210"/>
    </row>
    <row r="211" spans="2:8" x14ac:dyDescent="0.25">
      <c r="B211"/>
      <c r="C211"/>
      <c r="D211"/>
      <c r="E211"/>
      <c r="F211"/>
      <c r="G211"/>
      <c r="H211"/>
    </row>
    <row r="212" spans="2:8" x14ac:dyDescent="0.25">
      <c r="B212"/>
      <c r="C212"/>
      <c r="D212"/>
      <c r="E212"/>
      <c r="F212"/>
      <c r="G212"/>
      <c r="H212"/>
    </row>
    <row r="213" spans="2:8" x14ac:dyDescent="0.25">
      <c r="B213"/>
      <c r="C213"/>
      <c r="D213"/>
      <c r="E213"/>
      <c r="F213"/>
      <c r="G213"/>
      <c r="H213"/>
    </row>
    <row r="214" spans="2:8" x14ac:dyDescent="0.25">
      <c r="B214"/>
      <c r="C214"/>
      <c r="D214"/>
      <c r="E214"/>
      <c r="F214"/>
      <c r="G214"/>
      <c r="H214"/>
    </row>
    <row r="215" spans="2:8" x14ac:dyDescent="0.25">
      <c r="B215"/>
      <c r="C215"/>
      <c r="D215"/>
      <c r="E215"/>
      <c r="F215"/>
      <c r="G215"/>
      <c r="H215"/>
    </row>
    <row r="216" spans="2:8" x14ac:dyDescent="0.25">
      <c r="B216"/>
      <c r="C216"/>
      <c r="D216"/>
      <c r="E216"/>
      <c r="F216"/>
      <c r="G216"/>
      <c r="H216"/>
    </row>
    <row r="217" spans="2:8" x14ac:dyDescent="0.25">
      <c r="B217"/>
      <c r="C217"/>
      <c r="D217"/>
      <c r="E217"/>
      <c r="F217"/>
      <c r="G217"/>
      <c r="H217"/>
    </row>
    <row r="218" spans="2:8" x14ac:dyDescent="0.25">
      <c r="B218"/>
      <c r="C218"/>
      <c r="D218"/>
      <c r="E218"/>
      <c r="F218"/>
      <c r="G218"/>
      <c r="H218"/>
    </row>
    <row r="219" spans="2:8" x14ac:dyDescent="0.25">
      <c r="B219"/>
      <c r="C219"/>
      <c r="D219"/>
      <c r="E219"/>
      <c r="F219"/>
      <c r="G219"/>
      <c r="H219"/>
    </row>
    <row r="220" spans="2:8" x14ac:dyDescent="0.25">
      <c r="B220"/>
      <c r="C220"/>
      <c r="D220"/>
      <c r="E220"/>
      <c r="F220"/>
      <c r="G220"/>
      <c r="H220"/>
    </row>
    <row r="221" spans="2:8" x14ac:dyDescent="0.25">
      <c r="B221"/>
      <c r="C221"/>
      <c r="D221"/>
      <c r="E221"/>
      <c r="F221"/>
      <c r="G221"/>
      <c r="H221"/>
    </row>
    <row r="222" spans="2:8" x14ac:dyDescent="0.25">
      <c r="B222"/>
      <c r="C222"/>
      <c r="D222"/>
      <c r="E222"/>
      <c r="F222"/>
      <c r="G222"/>
      <c r="H222"/>
    </row>
    <row r="223" spans="2:8" x14ac:dyDescent="0.25">
      <c r="B223"/>
      <c r="C223"/>
      <c r="D223"/>
      <c r="E223"/>
      <c r="F223"/>
      <c r="G223"/>
      <c r="H223"/>
    </row>
    <row r="224" spans="2:8" x14ac:dyDescent="0.25">
      <c r="B224"/>
      <c r="C224"/>
      <c r="D224"/>
      <c r="E224"/>
      <c r="F224"/>
      <c r="G224"/>
      <c r="H224"/>
    </row>
    <row r="225" spans="2:8" x14ac:dyDescent="0.25">
      <c r="B225"/>
      <c r="C225"/>
      <c r="D225"/>
      <c r="E225"/>
      <c r="F225"/>
      <c r="G225"/>
      <c r="H225"/>
    </row>
    <row r="226" spans="2:8" x14ac:dyDescent="0.25">
      <c r="B226"/>
      <c r="C226"/>
      <c r="D226"/>
      <c r="E226"/>
      <c r="F226"/>
      <c r="G226"/>
      <c r="H226"/>
    </row>
    <row r="227" spans="2:8" x14ac:dyDescent="0.25">
      <c r="B227"/>
      <c r="C227"/>
      <c r="D227"/>
      <c r="E227"/>
      <c r="F227"/>
      <c r="G227"/>
      <c r="H227"/>
    </row>
    <row r="228" spans="2:8" x14ac:dyDescent="0.25">
      <c r="B228"/>
      <c r="C228"/>
      <c r="D228"/>
      <c r="E228"/>
      <c r="F228"/>
      <c r="G228"/>
      <c r="H228"/>
    </row>
    <row r="229" spans="2:8" x14ac:dyDescent="0.25">
      <c r="B229"/>
      <c r="C229"/>
      <c r="D229"/>
      <c r="E229"/>
      <c r="F229"/>
      <c r="G229"/>
      <c r="H229"/>
    </row>
    <row r="230" spans="2:8" x14ac:dyDescent="0.25">
      <c r="B230"/>
      <c r="C230"/>
      <c r="D230"/>
      <c r="E230"/>
      <c r="F230"/>
      <c r="G230"/>
      <c r="H230"/>
    </row>
    <row r="231" spans="2:8" x14ac:dyDescent="0.25">
      <c r="B231"/>
      <c r="C231"/>
      <c r="D231"/>
      <c r="E231"/>
      <c r="F231"/>
      <c r="G231"/>
      <c r="H231"/>
    </row>
    <row r="232" spans="2:8" x14ac:dyDescent="0.25">
      <c r="B232"/>
      <c r="C232"/>
      <c r="D232"/>
      <c r="E232"/>
      <c r="F232"/>
      <c r="G232"/>
      <c r="H232"/>
    </row>
    <row r="233" spans="2:8" x14ac:dyDescent="0.25">
      <c r="B233"/>
      <c r="C233"/>
      <c r="D233"/>
      <c r="E233"/>
      <c r="F233"/>
      <c r="G233"/>
      <c r="H233"/>
    </row>
    <row r="234" spans="2:8" x14ac:dyDescent="0.25">
      <c r="B234"/>
      <c r="C234"/>
      <c r="D234"/>
      <c r="E234"/>
      <c r="F234"/>
      <c r="G234"/>
      <c r="H234"/>
    </row>
    <row r="235" spans="2:8" x14ac:dyDescent="0.25">
      <c r="B235"/>
      <c r="C235"/>
      <c r="D235"/>
      <c r="E235"/>
      <c r="F235"/>
      <c r="G235"/>
      <c r="H235"/>
    </row>
    <row r="236" spans="2:8" x14ac:dyDescent="0.25">
      <c r="B236"/>
      <c r="C236"/>
      <c r="D236"/>
      <c r="E236"/>
      <c r="F236"/>
      <c r="G236"/>
      <c r="H236"/>
    </row>
    <row r="237" spans="2:8" x14ac:dyDescent="0.25">
      <c r="B237"/>
      <c r="C237"/>
      <c r="D237"/>
      <c r="E237"/>
      <c r="F237"/>
      <c r="G237"/>
      <c r="H237"/>
    </row>
    <row r="238" spans="2:8" x14ac:dyDescent="0.25">
      <c r="B238"/>
      <c r="C238"/>
      <c r="D238"/>
      <c r="E238"/>
      <c r="F238"/>
      <c r="G238"/>
      <c r="H238"/>
    </row>
    <row r="239" spans="2:8" x14ac:dyDescent="0.25">
      <c r="B239"/>
      <c r="C239"/>
      <c r="D239"/>
      <c r="E239"/>
      <c r="F239"/>
      <c r="G239"/>
      <c r="H239"/>
    </row>
    <row r="240" spans="2:8" x14ac:dyDescent="0.25">
      <c r="B240"/>
      <c r="C240"/>
      <c r="D240"/>
      <c r="E240"/>
      <c r="F240"/>
      <c r="G240"/>
      <c r="H240"/>
    </row>
    <row r="241" spans="2:8" x14ac:dyDescent="0.25">
      <c r="B241"/>
      <c r="C241"/>
      <c r="D241"/>
      <c r="E241"/>
      <c r="F241"/>
      <c r="G241"/>
      <c r="H241"/>
    </row>
    <row r="242" spans="2:8" x14ac:dyDescent="0.25">
      <c r="B242"/>
      <c r="C242"/>
      <c r="D242"/>
      <c r="E242"/>
      <c r="F242"/>
      <c r="G242"/>
      <c r="H242"/>
    </row>
    <row r="243" spans="2:8" x14ac:dyDescent="0.25">
      <c r="B243"/>
      <c r="C243"/>
      <c r="D243"/>
      <c r="E243"/>
      <c r="F243"/>
      <c r="G243"/>
      <c r="H243"/>
    </row>
    <row r="244" spans="2:8" x14ac:dyDescent="0.25">
      <c r="B244"/>
      <c r="C244"/>
      <c r="D244"/>
      <c r="E244"/>
      <c r="F244"/>
      <c r="G244"/>
      <c r="H244"/>
    </row>
    <row r="245" spans="2:8" x14ac:dyDescent="0.25">
      <c r="B245"/>
      <c r="C245"/>
      <c r="D245"/>
      <c r="E245"/>
      <c r="F245"/>
      <c r="G245"/>
      <c r="H245"/>
    </row>
    <row r="246" spans="2:8" x14ac:dyDescent="0.25">
      <c r="B246"/>
      <c r="C246"/>
      <c r="D246"/>
      <c r="E246"/>
      <c r="F246"/>
      <c r="G246"/>
      <c r="H246"/>
    </row>
    <row r="247" spans="2:8" x14ac:dyDescent="0.25">
      <c r="B247"/>
      <c r="C247"/>
      <c r="D247"/>
      <c r="E247"/>
      <c r="F247"/>
      <c r="G247"/>
      <c r="H247"/>
    </row>
    <row r="248" spans="2:8" x14ac:dyDescent="0.25">
      <c r="B248"/>
      <c r="C248"/>
      <c r="D248"/>
      <c r="E248"/>
      <c r="F248"/>
      <c r="G248"/>
      <c r="H248"/>
    </row>
    <row r="249" spans="2:8" x14ac:dyDescent="0.25">
      <c r="B249"/>
      <c r="C249"/>
      <c r="D249"/>
      <c r="E249"/>
      <c r="F249"/>
      <c r="G249"/>
      <c r="H249"/>
    </row>
    <row r="250" spans="2:8" x14ac:dyDescent="0.25">
      <c r="B250"/>
      <c r="C250"/>
      <c r="D250"/>
      <c r="E250"/>
      <c r="F250"/>
      <c r="G250"/>
      <c r="H250"/>
    </row>
    <row r="251" spans="2:8" x14ac:dyDescent="0.25">
      <c r="B251"/>
      <c r="C251"/>
      <c r="D251"/>
      <c r="E251"/>
      <c r="F251"/>
      <c r="G251"/>
      <c r="H251"/>
    </row>
    <row r="252" spans="2:8" x14ac:dyDescent="0.25">
      <c r="B252"/>
      <c r="C252"/>
      <c r="D252"/>
      <c r="E252"/>
      <c r="F252"/>
      <c r="G252"/>
      <c r="H252"/>
    </row>
    <row r="253" spans="2:8" x14ac:dyDescent="0.25">
      <c r="B253"/>
      <c r="C253"/>
      <c r="D253"/>
      <c r="E253"/>
      <c r="F253"/>
      <c r="G253"/>
      <c r="H253"/>
    </row>
    <row r="254" spans="2:8" x14ac:dyDescent="0.25">
      <c r="B254"/>
      <c r="C254"/>
      <c r="D254"/>
      <c r="E254"/>
      <c r="F254"/>
      <c r="G254"/>
      <c r="H254"/>
    </row>
    <row r="255" spans="2:8" x14ac:dyDescent="0.25">
      <c r="B255"/>
      <c r="C255"/>
      <c r="D255"/>
      <c r="E255"/>
      <c r="F255"/>
      <c r="G255"/>
      <c r="H255"/>
    </row>
    <row r="256" spans="2:8" x14ac:dyDescent="0.25">
      <c r="B256"/>
      <c r="C256"/>
      <c r="D256"/>
      <c r="E256"/>
      <c r="F256"/>
      <c r="G256"/>
      <c r="H256"/>
    </row>
    <row r="257" spans="2:8" x14ac:dyDescent="0.25">
      <c r="B257"/>
      <c r="C257"/>
      <c r="D257"/>
      <c r="E257"/>
      <c r="F257"/>
      <c r="G257"/>
      <c r="H257"/>
    </row>
    <row r="258" spans="2:8" x14ac:dyDescent="0.25">
      <c r="B258"/>
      <c r="C258"/>
      <c r="D258"/>
      <c r="E258"/>
      <c r="F258"/>
      <c r="G258"/>
      <c r="H258"/>
    </row>
    <row r="259" spans="2:8" x14ac:dyDescent="0.25">
      <c r="B259"/>
      <c r="C259"/>
      <c r="D259"/>
      <c r="E259"/>
      <c r="F259"/>
      <c r="G259"/>
      <c r="H259"/>
    </row>
    <row r="260" spans="2:8" x14ac:dyDescent="0.25">
      <c r="B260"/>
      <c r="C260"/>
      <c r="D260"/>
      <c r="E260"/>
      <c r="F260"/>
      <c r="G260"/>
      <c r="H260"/>
    </row>
    <row r="261" spans="2:8" x14ac:dyDescent="0.25">
      <c r="B261"/>
      <c r="C261"/>
      <c r="D261"/>
      <c r="E261"/>
      <c r="F261"/>
      <c r="G261"/>
      <c r="H261"/>
    </row>
    <row r="262" spans="2:8" x14ac:dyDescent="0.25">
      <c r="B262"/>
      <c r="C262"/>
      <c r="D262"/>
      <c r="E262"/>
      <c r="F262"/>
      <c r="G262"/>
      <c r="H262"/>
    </row>
    <row r="263" spans="2:8" x14ac:dyDescent="0.25">
      <c r="B263"/>
      <c r="C263"/>
      <c r="D263"/>
      <c r="E263"/>
      <c r="F263"/>
      <c r="G263"/>
      <c r="H263"/>
    </row>
    <row r="264" spans="2:8" x14ac:dyDescent="0.25">
      <c r="B264"/>
      <c r="C264"/>
      <c r="D264"/>
      <c r="E264"/>
      <c r="F264"/>
      <c r="G264"/>
      <c r="H264"/>
    </row>
    <row r="265" spans="2:8" x14ac:dyDescent="0.25">
      <c r="B265"/>
      <c r="C265"/>
      <c r="D265"/>
      <c r="E265"/>
      <c r="F265"/>
      <c r="G265"/>
      <c r="H265"/>
    </row>
    <row r="266" spans="2:8" x14ac:dyDescent="0.25">
      <c r="B266"/>
      <c r="C266"/>
      <c r="D266"/>
      <c r="E266"/>
      <c r="F266"/>
      <c r="G266"/>
      <c r="H266"/>
    </row>
    <row r="267" spans="2:8" x14ac:dyDescent="0.25">
      <c r="B267"/>
      <c r="C267"/>
      <c r="D267"/>
      <c r="E267"/>
      <c r="F267"/>
      <c r="G267"/>
      <c r="H267"/>
    </row>
    <row r="268" spans="2:8" x14ac:dyDescent="0.25">
      <c r="B268"/>
      <c r="C268"/>
      <c r="D268"/>
      <c r="E268"/>
      <c r="F268"/>
      <c r="G268"/>
      <c r="H268"/>
    </row>
    <row r="269" spans="2:8" x14ac:dyDescent="0.25">
      <c r="B269"/>
      <c r="C269"/>
      <c r="D269"/>
      <c r="E269"/>
      <c r="F269"/>
      <c r="G269"/>
      <c r="H269"/>
    </row>
    <row r="270" spans="2:8" x14ac:dyDescent="0.25">
      <c r="B270"/>
      <c r="C270"/>
      <c r="D270"/>
      <c r="E270"/>
      <c r="F270"/>
      <c r="G270"/>
      <c r="H270"/>
    </row>
    <row r="271" spans="2:8" x14ac:dyDescent="0.25">
      <c r="B271"/>
      <c r="C271"/>
      <c r="D271"/>
      <c r="E271"/>
      <c r="F271"/>
      <c r="G271"/>
      <c r="H271"/>
    </row>
    <row r="272" spans="2:8" x14ac:dyDescent="0.25">
      <c r="B272"/>
      <c r="C272"/>
      <c r="D272"/>
      <c r="E272"/>
      <c r="F272"/>
      <c r="G272"/>
      <c r="H272"/>
    </row>
    <row r="273" spans="2:8" x14ac:dyDescent="0.25">
      <c r="B273"/>
      <c r="C273"/>
      <c r="D273"/>
      <c r="E273"/>
      <c r="F273"/>
      <c r="G273"/>
      <c r="H273"/>
    </row>
    <row r="274" spans="2:8" x14ac:dyDescent="0.25">
      <c r="B274"/>
      <c r="C274"/>
      <c r="D274"/>
      <c r="E274"/>
      <c r="F274"/>
      <c r="G274"/>
      <c r="H274"/>
    </row>
    <row r="275" spans="2:8" x14ac:dyDescent="0.25">
      <c r="B275"/>
      <c r="C275"/>
      <c r="D275"/>
      <c r="E275"/>
      <c r="F275"/>
      <c r="G275"/>
      <c r="H275"/>
    </row>
    <row r="276" spans="2:8" x14ac:dyDescent="0.25">
      <c r="B276"/>
      <c r="C276"/>
      <c r="D276"/>
      <c r="E276"/>
      <c r="F276"/>
      <c r="G276"/>
      <c r="H276"/>
    </row>
    <row r="277" spans="2:8" x14ac:dyDescent="0.25">
      <c r="B277"/>
      <c r="C277"/>
      <c r="D277"/>
      <c r="E277"/>
      <c r="F277"/>
      <c r="G277"/>
      <c r="H277"/>
    </row>
    <row r="278" spans="2:8" x14ac:dyDescent="0.25">
      <c r="B278"/>
      <c r="C278"/>
      <c r="D278"/>
      <c r="E278"/>
      <c r="F278"/>
      <c r="G278"/>
      <c r="H278"/>
    </row>
    <row r="279" spans="2:8" x14ac:dyDescent="0.25">
      <c r="B279"/>
      <c r="C279"/>
      <c r="D279"/>
      <c r="E279"/>
      <c r="F279"/>
      <c r="G279"/>
      <c r="H279"/>
    </row>
    <row r="280" spans="2:8" x14ac:dyDescent="0.25">
      <c r="B280"/>
      <c r="C280"/>
      <c r="D280"/>
      <c r="E280"/>
      <c r="F280"/>
      <c r="G280"/>
      <c r="H280"/>
    </row>
    <row r="281" spans="2:8" x14ac:dyDescent="0.25">
      <c r="B281"/>
      <c r="C281"/>
      <c r="D281"/>
      <c r="E281"/>
      <c r="F281"/>
      <c r="G281"/>
      <c r="H281"/>
    </row>
    <row r="282" spans="2:8" x14ac:dyDescent="0.25">
      <c r="B282"/>
      <c r="C282"/>
      <c r="D282"/>
      <c r="E282"/>
      <c r="F282"/>
      <c r="G282"/>
      <c r="H282"/>
    </row>
    <row r="283" spans="2:8" x14ac:dyDescent="0.25">
      <c r="B283"/>
      <c r="C283"/>
      <c r="D283"/>
      <c r="E283"/>
      <c r="F283"/>
      <c r="G283"/>
      <c r="H283"/>
    </row>
    <row r="284" spans="2:8" x14ac:dyDescent="0.25">
      <c r="B284"/>
      <c r="C284"/>
      <c r="D284"/>
      <c r="E284"/>
      <c r="F284"/>
      <c r="G284"/>
      <c r="H284"/>
    </row>
    <row r="285" spans="2:8" x14ac:dyDescent="0.25">
      <c r="B285"/>
      <c r="C285"/>
      <c r="D285"/>
      <c r="E285"/>
      <c r="F285"/>
      <c r="G285"/>
      <c r="H285"/>
    </row>
    <row r="286" spans="2:8" x14ac:dyDescent="0.25">
      <c r="B286"/>
      <c r="C286"/>
      <c r="D286"/>
      <c r="E286"/>
      <c r="F286"/>
      <c r="G286"/>
      <c r="H286"/>
    </row>
    <row r="287" spans="2:8" x14ac:dyDescent="0.25">
      <c r="B287"/>
      <c r="C287"/>
      <c r="D287"/>
      <c r="E287"/>
      <c r="F287"/>
      <c r="G287"/>
      <c r="H287"/>
    </row>
    <row r="288" spans="2:8" x14ac:dyDescent="0.25">
      <c r="B288"/>
      <c r="C288"/>
      <c r="D288"/>
      <c r="E288"/>
      <c r="F288"/>
      <c r="G288"/>
      <c r="H288"/>
    </row>
    <row r="289" spans="2:8" x14ac:dyDescent="0.25">
      <c r="B289"/>
      <c r="C289"/>
      <c r="D289"/>
      <c r="E289"/>
      <c r="F289"/>
      <c r="G289"/>
      <c r="H289"/>
    </row>
    <row r="290" spans="2:8" x14ac:dyDescent="0.25">
      <c r="B290"/>
      <c r="C290"/>
      <c r="D290"/>
      <c r="E290"/>
      <c r="F290"/>
      <c r="G290"/>
      <c r="H290"/>
    </row>
    <row r="291" spans="2:8" x14ac:dyDescent="0.25">
      <c r="B291"/>
      <c r="C291"/>
      <c r="D291"/>
      <c r="E291"/>
      <c r="F291"/>
      <c r="G291"/>
      <c r="H291"/>
    </row>
    <row r="292" spans="2:8" x14ac:dyDescent="0.25">
      <c r="B292"/>
      <c r="C292"/>
      <c r="D292"/>
      <c r="E292"/>
      <c r="F292"/>
      <c r="G292"/>
      <c r="H292"/>
    </row>
    <row r="293" spans="2:8" x14ac:dyDescent="0.25">
      <c r="B293"/>
      <c r="C293"/>
      <c r="D293"/>
      <c r="E293"/>
      <c r="F293"/>
      <c r="G293"/>
      <c r="H293"/>
    </row>
    <row r="294" spans="2:8" x14ac:dyDescent="0.25">
      <c r="B294"/>
      <c r="C294"/>
      <c r="D294"/>
      <c r="E294"/>
      <c r="F294"/>
      <c r="G294"/>
      <c r="H294"/>
    </row>
    <row r="295" spans="2:8" x14ac:dyDescent="0.25">
      <c r="B295"/>
      <c r="C295"/>
      <c r="D295"/>
      <c r="E295"/>
      <c r="F295"/>
      <c r="G295"/>
      <c r="H295"/>
    </row>
    <row r="296" spans="2:8" x14ac:dyDescent="0.25">
      <c r="B296"/>
      <c r="C296"/>
      <c r="D296"/>
      <c r="E296"/>
      <c r="F296"/>
      <c r="G296"/>
      <c r="H296"/>
    </row>
    <row r="297" spans="2:8" x14ac:dyDescent="0.25">
      <c r="B297"/>
      <c r="C297"/>
      <c r="D297"/>
      <c r="E297"/>
      <c r="F297"/>
      <c r="G297"/>
      <c r="H297"/>
    </row>
    <row r="298" spans="2:8" x14ac:dyDescent="0.25">
      <c r="B298"/>
      <c r="C298"/>
      <c r="D298"/>
      <c r="E298"/>
      <c r="F298"/>
      <c r="G298"/>
      <c r="H298"/>
    </row>
    <row r="299" spans="2:8" x14ac:dyDescent="0.25">
      <c r="B299"/>
      <c r="C299"/>
      <c r="D299"/>
      <c r="E299"/>
      <c r="F299"/>
      <c r="G299"/>
      <c r="H299"/>
    </row>
    <row r="300" spans="2:8" x14ac:dyDescent="0.25">
      <c r="B300"/>
      <c r="C300"/>
      <c r="D300"/>
      <c r="E300"/>
      <c r="F300"/>
      <c r="G300"/>
      <c r="H300"/>
    </row>
    <row r="301" spans="2:8" x14ac:dyDescent="0.25">
      <c r="B301"/>
      <c r="C301"/>
      <c r="D301"/>
      <c r="E301"/>
      <c r="F301"/>
      <c r="G301"/>
      <c r="H301"/>
    </row>
    <row r="302" spans="2:8" x14ac:dyDescent="0.25">
      <c r="B302"/>
      <c r="C302"/>
      <c r="D302"/>
      <c r="E302"/>
      <c r="F302"/>
      <c r="G302"/>
      <c r="H302"/>
    </row>
    <row r="303" spans="2:8" x14ac:dyDescent="0.25">
      <c r="B303"/>
      <c r="C303"/>
      <c r="D303"/>
      <c r="E303"/>
      <c r="F303"/>
      <c r="G303"/>
      <c r="H303"/>
    </row>
    <row r="304" spans="2:8" x14ac:dyDescent="0.25">
      <c r="B304"/>
      <c r="C304"/>
      <c r="D304"/>
      <c r="E304"/>
      <c r="F304"/>
      <c r="G304"/>
      <c r="H304"/>
    </row>
    <row r="305" spans="2:8" x14ac:dyDescent="0.25">
      <c r="B305"/>
      <c r="C305"/>
      <c r="D305"/>
      <c r="E305"/>
      <c r="F305"/>
      <c r="G305"/>
      <c r="H305"/>
    </row>
    <row r="306" spans="2:8" x14ac:dyDescent="0.25">
      <c r="B306"/>
      <c r="C306"/>
      <c r="D306"/>
      <c r="E306"/>
      <c r="F306"/>
      <c r="G306"/>
      <c r="H306"/>
    </row>
    <row r="307" spans="2:8" x14ac:dyDescent="0.25">
      <c r="B307"/>
      <c r="C307"/>
      <c r="D307"/>
      <c r="E307"/>
      <c r="F307"/>
      <c r="G307"/>
      <c r="H307"/>
    </row>
    <row r="308" spans="2:8" x14ac:dyDescent="0.25">
      <c r="B308"/>
      <c r="C308"/>
      <c r="D308"/>
      <c r="E308"/>
      <c r="F308"/>
      <c r="G308"/>
      <c r="H308"/>
    </row>
    <row r="309" spans="2:8" x14ac:dyDescent="0.25">
      <c r="B309"/>
      <c r="C309"/>
      <c r="D309"/>
      <c r="E309"/>
      <c r="F309"/>
      <c r="G309"/>
      <c r="H309"/>
    </row>
    <row r="310" spans="2:8" x14ac:dyDescent="0.25">
      <c r="B310"/>
      <c r="C310"/>
      <c r="D310"/>
      <c r="E310"/>
      <c r="F310"/>
      <c r="G310"/>
      <c r="H310"/>
    </row>
    <row r="311" spans="2:8" x14ac:dyDescent="0.25">
      <c r="B311"/>
      <c r="C311"/>
      <c r="D311"/>
      <c r="E311"/>
      <c r="F311"/>
      <c r="G311"/>
      <c r="H311"/>
    </row>
    <row r="312" spans="2:8" x14ac:dyDescent="0.25">
      <c r="B312"/>
      <c r="C312"/>
      <c r="D312"/>
      <c r="E312"/>
      <c r="F312"/>
      <c r="G312"/>
      <c r="H312"/>
    </row>
    <row r="313" spans="2:8" x14ac:dyDescent="0.25">
      <c r="B313"/>
      <c r="C313"/>
      <c r="D313"/>
      <c r="E313"/>
      <c r="F313"/>
      <c r="G313"/>
      <c r="H313"/>
    </row>
    <row r="314" spans="2:8" x14ac:dyDescent="0.25">
      <c r="B314"/>
      <c r="C314"/>
      <c r="D314"/>
      <c r="E314"/>
      <c r="F314"/>
      <c r="G314"/>
      <c r="H314"/>
    </row>
    <row r="315" spans="2:8" x14ac:dyDescent="0.25">
      <c r="B315"/>
      <c r="C315"/>
      <c r="D315"/>
      <c r="E315"/>
      <c r="F315"/>
      <c r="G315"/>
      <c r="H315"/>
    </row>
    <row r="316" spans="2:8" x14ac:dyDescent="0.25">
      <c r="B316"/>
      <c r="C316"/>
      <c r="D316"/>
      <c r="E316"/>
      <c r="F316"/>
      <c r="G316"/>
      <c r="H316"/>
    </row>
    <row r="317" spans="2:8" x14ac:dyDescent="0.25">
      <c r="B317"/>
      <c r="C317"/>
      <c r="D317"/>
      <c r="E317"/>
      <c r="F317"/>
      <c r="G317"/>
      <c r="H317"/>
    </row>
    <row r="318" spans="2:8" x14ac:dyDescent="0.25">
      <c r="B318"/>
      <c r="C318"/>
      <c r="D318"/>
      <c r="E318"/>
      <c r="F318"/>
      <c r="G318"/>
      <c r="H318"/>
    </row>
    <row r="319" spans="2:8" x14ac:dyDescent="0.25">
      <c r="B319"/>
      <c r="C319"/>
      <c r="D319"/>
      <c r="E319"/>
      <c r="F319"/>
      <c r="G319"/>
      <c r="H319"/>
    </row>
    <row r="320" spans="2:8" x14ac:dyDescent="0.25">
      <c r="B320"/>
      <c r="C320"/>
      <c r="D320"/>
      <c r="E320"/>
      <c r="F320"/>
      <c r="G320"/>
      <c r="H320"/>
    </row>
    <row r="321" spans="2:8" x14ac:dyDescent="0.25">
      <c r="B321"/>
      <c r="C321"/>
      <c r="D321"/>
      <c r="E321"/>
      <c r="F321"/>
      <c r="G321"/>
      <c r="H321"/>
    </row>
    <row r="322" spans="2:8" x14ac:dyDescent="0.25">
      <c r="B322"/>
      <c r="C322"/>
      <c r="D322"/>
      <c r="E322"/>
      <c r="F322"/>
      <c r="G322"/>
      <c r="H322"/>
    </row>
    <row r="323" spans="2:8" x14ac:dyDescent="0.25">
      <c r="B323"/>
      <c r="C323"/>
      <c r="D323"/>
      <c r="E323"/>
      <c r="F323"/>
      <c r="G323"/>
      <c r="H323"/>
    </row>
    <row r="324" spans="2:8" x14ac:dyDescent="0.25">
      <c r="B324"/>
      <c r="C324"/>
      <c r="D324"/>
      <c r="E324"/>
      <c r="F324"/>
      <c r="G324"/>
      <c r="H324"/>
    </row>
    <row r="325" spans="2:8" x14ac:dyDescent="0.25">
      <c r="B325"/>
      <c r="C325"/>
      <c r="D325"/>
      <c r="E325"/>
      <c r="F325"/>
      <c r="G325"/>
      <c r="H325"/>
    </row>
    <row r="326" spans="2:8" x14ac:dyDescent="0.25">
      <c r="B326"/>
      <c r="C326"/>
      <c r="D326"/>
      <c r="E326"/>
      <c r="F326"/>
      <c r="G326"/>
      <c r="H326"/>
    </row>
    <row r="327" spans="2:8" x14ac:dyDescent="0.25">
      <c r="B327"/>
      <c r="C327"/>
      <c r="D327"/>
      <c r="E327"/>
      <c r="F327"/>
      <c r="G327"/>
      <c r="H327"/>
    </row>
    <row r="328" spans="2:8" x14ac:dyDescent="0.25">
      <c r="B328"/>
      <c r="C328"/>
      <c r="D328"/>
      <c r="E328"/>
      <c r="F328"/>
      <c r="G328"/>
      <c r="H328"/>
    </row>
    <row r="329" spans="2:8" x14ac:dyDescent="0.25">
      <c r="B329"/>
      <c r="C329"/>
      <c r="D329"/>
      <c r="E329"/>
      <c r="F329"/>
      <c r="G329"/>
      <c r="H329"/>
    </row>
    <row r="330" spans="2:8" x14ac:dyDescent="0.25">
      <c r="B330"/>
      <c r="C330"/>
      <c r="D330"/>
      <c r="E330"/>
      <c r="F330"/>
      <c r="G330"/>
      <c r="H330"/>
    </row>
    <row r="331" spans="2:8" x14ac:dyDescent="0.25">
      <c r="B331"/>
      <c r="C331"/>
      <c r="D331"/>
      <c r="E331"/>
      <c r="F331"/>
      <c r="G331"/>
      <c r="H331"/>
    </row>
    <row r="332" spans="2:8" x14ac:dyDescent="0.25">
      <c r="B332"/>
      <c r="C332"/>
      <c r="D332"/>
      <c r="E332"/>
      <c r="F332"/>
      <c r="G332"/>
      <c r="H332"/>
    </row>
    <row r="333" spans="2:8" x14ac:dyDescent="0.25">
      <c r="B333"/>
      <c r="C333"/>
      <c r="D333"/>
      <c r="E333"/>
      <c r="F333"/>
      <c r="G333"/>
      <c r="H333"/>
    </row>
    <row r="334" spans="2:8" x14ac:dyDescent="0.25">
      <c r="B334"/>
      <c r="C334"/>
      <c r="D334"/>
      <c r="E334"/>
      <c r="F334"/>
      <c r="G334"/>
      <c r="H334"/>
    </row>
    <row r="335" spans="2:8" x14ac:dyDescent="0.25">
      <c r="B335"/>
      <c r="C335"/>
      <c r="D335"/>
      <c r="E335"/>
      <c r="F335"/>
      <c r="G335"/>
      <c r="H335"/>
    </row>
    <row r="336" spans="2:8" x14ac:dyDescent="0.25">
      <c r="B336"/>
      <c r="C336"/>
      <c r="D336"/>
      <c r="E336"/>
      <c r="F336"/>
      <c r="G336"/>
      <c r="H336"/>
    </row>
    <row r="337" spans="2:8" x14ac:dyDescent="0.25">
      <c r="B337"/>
      <c r="C337"/>
      <c r="D337"/>
      <c r="E337"/>
      <c r="F337"/>
      <c r="G337"/>
      <c r="H337"/>
    </row>
    <row r="338" spans="2:8" x14ac:dyDescent="0.25">
      <c r="B338"/>
      <c r="C338"/>
      <c r="D338"/>
      <c r="E338"/>
      <c r="F338"/>
      <c r="G338"/>
      <c r="H338"/>
    </row>
    <row r="339" spans="2:8" x14ac:dyDescent="0.25">
      <c r="B339"/>
      <c r="C339"/>
      <c r="D339"/>
      <c r="E339"/>
      <c r="F339"/>
      <c r="G339"/>
      <c r="H339"/>
    </row>
    <row r="340" spans="2:8" x14ac:dyDescent="0.25">
      <c r="B340"/>
      <c r="C340"/>
      <c r="D340"/>
      <c r="E340"/>
      <c r="F340"/>
      <c r="G340"/>
      <c r="H340"/>
    </row>
    <row r="341" spans="2:8" x14ac:dyDescent="0.25">
      <c r="B341"/>
      <c r="C341"/>
      <c r="D341"/>
      <c r="E341"/>
      <c r="F341"/>
      <c r="G341"/>
      <c r="H341"/>
    </row>
    <row r="342" spans="2:8" x14ac:dyDescent="0.25">
      <c r="B342"/>
      <c r="C342"/>
      <c r="D342"/>
      <c r="E342"/>
      <c r="F342"/>
      <c r="G342"/>
      <c r="H342"/>
    </row>
    <row r="343" spans="2:8" x14ac:dyDescent="0.25">
      <c r="B343"/>
      <c r="C343"/>
      <c r="D343"/>
      <c r="E343"/>
      <c r="F343"/>
      <c r="G343"/>
      <c r="H343"/>
    </row>
    <row r="344" spans="2:8" x14ac:dyDescent="0.25">
      <c r="B344"/>
      <c r="C344"/>
      <c r="D344"/>
      <c r="E344"/>
      <c r="F344"/>
      <c r="G344"/>
      <c r="H344"/>
    </row>
    <row r="345" spans="2:8" x14ac:dyDescent="0.25">
      <c r="B345"/>
      <c r="C345"/>
      <c r="D345"/>
      <c r="E345"/>
      <c r="F345"/>
      <c r="G345"/>
      <c r="H345"/>
    </row>
    <row r="346" spans="2:8" x14ac:dyDescent="0.25">
      <c r="B346"/>
      <c r="C346"/>
      <c r="D346"/>
      <c r="E346"/>
      <c r="F346"/>
      <c r="G346"/>
      <c r="H346"/>
    </row>
    <row r="347" spans="2:8" x14ac:dyDescent="0.25">
      <c r="B347"/>
      <c r="C347"/>
      <c r="D347"/>
      <c r="E347"/>
      <c r="F347"/>
      <c r="G347"/>
      <c r="H347"/>
    </row>
    <row r="348" spans="2:8" x14ac:dyDescent="0.25">
      <c r="B348"/>
      <c r="C348"/>
      <c r="D348"/>
      <c r="E348"/>
      <c r="F348"/>
      <c r="G348"/>
      <c r="H348"/>
    </row>
    <row r="349" spans="2:8" x14ac:dyDescent="0.25">
      <c r="B349"/>
      <c r="C349"/>
      <c r="D349"/>
      <c r="E349"/>
      <c r="F349"/>
      <c r="G349"/>
      <c r="H349"/>
    </row>
    <row r="350" spans="2:8" x14ac:dyDescent="0.25">
      <c r="B350"/>
      <c r="C350"/>
      <c r="D350"/>
      <c r="E350"/>
      <c r="F350"/>
      <c r="G350"/>
      <c r="H350"/>
    </row>
    <row r="351" spans="2:8" x14ac:dyDescent="0.25">
      <c r="B351"/>
      <c r="C351"/>
      <c r="D351"/>
      <c r="E351"/>
      <c r="F351"/>
      <c r="G351"/>
      <c r="H351"/>
    </row>
    <row r="352" spans="2:8" x14ac:dyDescent="0.25">
      <c r="B352"/>
      <c r="C352"/>
      <c r="D352"/>
      <c r="E352"/>
      <c r="F352"/>
      <c r="G352"/>
      <c r="H352"/>
    </row>
    <row r="353" spans="2:8" x14ac:dyDescent="0.25">
      <c r="B353"/>
      <c r="C353"/>
      <c r="D353"/>
      <c r="E353"/>
      <c r="F353"/>
      <c r="G353"/>
      <c r="H353"/>
    </row>
    <row r="354" spans="2:8" x14ac:dyDescent="0.25">
      <c r="B354"/>
      <c r="C354"/>
      <c r="D354"/>
      <c r="E354"/>
      <c r="F354"/>
      <c r="G354"/>
      <c r="H354"/>
    </row>
    <row r="355" spans="2:8" x14ac:dyDescent="0.25">
      <c r="B355"/>
      <c r="C355"/>
      <c r="D355"/>
      <c r="E355"/>
      <c r="F355"/>
      <c r="G355"/>
      <c r="H355"/>
    </row>
    <row r="356" spans="2:8" x14ac:dyDescent="0.25">
      <c r="B356"/>
      <c r="C356"/>
      <c r="D356"/>
      <c r="E356"/>
      <c r="F356"/>
      <c r="G356"/>
      <c r="H356"/>
    </row>
    <row r="357" spans="2:8" x14ac:dyDescent="0.25">
      <c r="B357"/>
      <c r="C357"/>
      <c r="D357"/>
      <c r="E357"/>
      <c r="F357"/>
      <c r="G357"/>
      <c r="H357"/>
    </row>
    <row r="358" spans="2:8" x14ac:dyDescent="0.25">
      <c r="B358"/>
      <c r="C358"/>
      <c r="D358"/>
      <c r="E358"/>
      <c r="F358"/>
      <c r="G358"/>
      <c r="H358"/>
    </row>
    <row r="359" spans="2:8" x14ac:dyDescent="0.25">
      <c r="B359"/>
      <c r="C359"/>
      <c r="D359"/>
      <c r="E359"/>
      <c r="F359"/>
      <c r="G359"/>
      <c r="H359"/>
    </row>
    <row r="360" spans="2:8" x14ac:dyDescent="0.25">
      <c r="B360"/>
      <c r="C360"/>
      <c r="D360"/>
      <c r="E360"/>
      <c r="F360"/>
      <c r="G360"/>
      <c r="H360"/>
    </row>
    <row r="361" spans="2:8" x14ac:dyDescent="0.25">
      <c r="B361"/>
      <c r="C361"/>
      <c r="D361"/>
      <c r="E361"/>
      <c r="F361"/>
      <c r="G361"/>
      <c r="H361"/>
    </row>
    <row r="362" spans="2:8" x14ac:dyDescent="0.25">
      <c r="B362"/>
      <c r="C362"/>
      <c r="D362"/>
      <c r="E362"/>
      <c r="F362"/>
      <c r="G362"/>
      <c r="H362"/>
    </row>
    <row r="363" spans="2:8" x14ac:dyDescent="0.25">
      <c r="B363"/>
      <c r="C363"/>
      <c r="D363"/>
      <c r="E363"/>
      <c r="F363"/>
      <c r="G363"/>
      <c r="H363"/>
    </row>
    <row r="364" spans="2:8" x14ac:dyDescent="0.25">
      <c r="B364"/>
      <c r="C364"/>
      <c r="D364"/>
      <c r="E364"/>
      <c r="F364"/>
      <c r="G364"/>
      <c r="H364"/>
    </row>
    <row r="365" spans="2:8" x14ac:dyDescent="0.25">
      <c r="B365"/>
      <c r="C365"/>
      <c r="D365"/>
      <c r="E365"/>
      <c r="F365"/>
      <c r="G365"/>
      <c r="H365"/>
    </row>
    <row r="366" spans="2:8" x14ac:dyDescent="0.25">
      <c r="B366"/>
      <c r="C366"/>
      <c r="D366"/>
      <c r="E366"/>
      <c r="F366"/>
      <c r="G366"/>
      <c r="H366"/>
    </row>
    <row r="367" spans="2:8" x14ac:dyDescent="0.25">
      <c r="B367"/>
      <c r="C367"/>
      <c r="D367"/>
      <c r="E367"/>
      <c r="F367"/>
      <c r="G367"/>
      <c r="H367"/>
    </row>
    <row r="368" spans="2:8" x14ac:dyDescent="0.25">
      <c r="B368"/>
      <c r="C368"/>
      <c r="D368"/>
      <c r="E368"/>
      <c r="F368"/>
      <c r="G368"/>
      <c r="H368"/>
    </row>
    <row r="369" spans="2:8" x14ac:dyDescent="0.25">
      <c r="B369"/>
      <c r="C369"/>
      <c r="D369"/>
      <c r="E369"/>
      <c r="F369"/>
      <c r="G369"/>
      <c r="H369"/>
    </row>
    <row r="370" spans="2:8" x14ac:dyDescent="0.25">
      <c r="B370"/>
      <c r="C370"/>
      <c r="D370"/>
      <c r="E370"/>
      <c r="F370"/>
      <c r="G370"/>
      <c r="H370"/>
    </row>
    <row r="371" spans="2:8" x14ac:dyDescent="0.25">
      <c r="B371"/>
      <c r="C371"/>
      <c r="D371"/>
      <c r="E371"/>
      <c r="F371"/>
      <c r="G371"/>
      <c r="H371"/>
    </row>
    <row r="372" spans="2:8" x14ac:dyDescent="0.25">
      <c r="B372"/>
      <c r="C372"/>
      <c r="D372"/>
      <c r="E372"/>
      <c r="F372"/>
      <c r="G372"/>
      <c r="H372"/>
    </row>
    <row r="373" spans="2:8" x14ac:dyDescent="0.25">
      <c r="B373"/>
      <c r="C373"/>
      <c r="D373"/>
      <c r="E373"/>
      <c r="F373"/>
      <c r="G373"/>
      <c r="H373"/>
    </row>
    <row r="374" spans="2:8" x14ac:dyDescent="0.25">
      <c r="B374"/>
      <c r="C374"/>
      <c r="D374"/>
      <c r="E374"/>
      <c r="F374"/>
      <c r="G374"/>
      <c r="H374"/>
    </row>
    <row r="375" spans="2:8" x14ac:dyDescent="0.25">
      <c r="B375"/>
      <c r="C375"/>
      <c r="D375"/>
      <c r="E375"/>
      <c r="F375"/>
      <c r="G375"/>
      <c r="H375"/>
    </row>
    <row r="376" spans="2:8" x14ac:dyDescent="0.25">
      <c r="B376"/>
      <c r="C376"/>
      <c r="D376"/>
      <c r="E376"/>
      <c r="F376"/>
      <c r="G376"/>
      <c r="H376"/>
    </row>
    <row r="377" spans="2:8" x14ac:dyDescent="0.25">
      <c r="B377"/>
      <c r="C377"/>
      <c r="D377"/>
      <c r="E377"/>
      <c r="F377"/>
      <c r="G377"/>
      <c r="H377"/>
    </row>
    <row r="378" spans="2:8" x14ac:dyDescent="0.25">
      <c r="B378"/>
      <c r="C378"/>
      <c r="D378"/>
      <c r="E378"/>
      <c r="F378"/>
      <c r="G378"/>
      <c r="H378"/>
    </row>
    <row r="379" spans="2:8" x14ac:dyDescent="0.25">
      <c r="B379"/>
      <c r="C379"/>
      <c r="D379"/>
      <c r="E379"/>
      <c r="F379"/>
      <c r="G379"/>
      <c r="H379"/>
    </row>
    <row r="380" spans="2:8" x14ac:dyDescent="0.25">
      <c r="B380"/>
      <c r="C380"/>
      <c r="D380"/>
      <c r="E380"/>
      <c r="F380"/>
      <c r="G380"/>
      <c r="H380"/>
    </row>
    <row r="381" spans="2:8" x14ac:dyDescent="0.25">
      <c r="B381"/>
      <c r="C381"/>
      <c r="D381"/>
      <c r="E381"/>
      <c r="F381"/>
      <c r="G381"/>
      <c r="H381"/>
    </row>
    <row r="382" spans="2:8" x14ac:dyDescent="0.25">
      <c r="B382"/>
      <c r="C382"/>
      <c r="D382"/>
      <c r="E382"/>
      <c r="F382"/>
      <c r="G382"/>
      <c r="H382"/>
    </row>
    <row r="383" spans="2:8" x14ac:dyDescent="0.25">
      <c r="B383"/>
      <c r="C383"/>
      <c r="D383"/>
      <c r="E383"/>
      <c r="F383"/>
      <c r="G383"/>
      <c r="H383"/>
    </row>
    <row r="384" spans="2:8" x14ac:dyDescent="0.25">
      <c r="B384"/>
      <c r="C384"/>
      <c r="D384"/>
      <c r="E384"/>
      <c r="F384"/>
      <c r="G384"/>
      <c r="H384"/>
    </row>
    <row r="385" spans="2:8" x14ac:dyDescent="0.25">
      <c r="B385"/>
      <c r="C385"/>
      <c r="D385"/>
      <c r="E385"/>
      <c r="F385"/>
      <c r="G385"/>
      <c r="H385"/>
    </row>
    <row r="386" spans="2:8" x14ac:dyDescent="0.25">
      <c r="B386"/>
      <c r="C386"/>
      <c r="D386"/>
      <c r="E386"/>
      <c r="F386"/>
      <c r="G386"/>
      <c r="H386"/>
    </row>
    <row r="387" spans="2:8" x14ac:dyDescent="0.25">
      <c r="B387"/>
      <c r="C387"/>
      <c r="D387"/>
      <c r="E387"/>
      <c r="F387"/>
      <c r="G387"/>
      <c r="H387"/>
    </row>
    <row r="388" spans="2:8" x14ac:dyDescent="0.25">
      <c r="B388"/>
      <c r="C388"/>
      <c r="D388"/>
      <c r="E388"/>
      <c r="F388"/>
      <c r="G388"/>
      <c r="H388"/>
    </row>
    <row r="389" spans="2:8" x14ac:dyDescent="0.25">
      <c r="B389"/>
      <c r="C389"/>
      <c r="D389"/>
      <c r="E389"/>
      <c r="F389"/>
      <c r="G389"/>
      <c r="H389"/>
    </row>
    <row r="390" spans="2:8" x14ac:dyDescent="0.25">
      <c r="B390"/>
      <c r="C390"/>
      <c r="D390"/>
      <c r="E390"/>
      <c r="F390"/>
      <c r="G390"/>
      <c r="H390"/>
    </row>
    <row r="391" spans="2:8" x14ac:dyDescent="0.25">
      <c r="B391"/>
      <c r="C391"/>
      <c r="D391"/>
      <c r="E391"/>
      <c r="F391"/>
      <c r="G391"/>
      <c r="H391"/>
    </row>
    <row r="392" spans="2:8" x14ac:dyDescent="0.25">
      <c r="B392"/>
      <c r="C392"/>
      <c r="D392"/>
      <c r="E392"/>
      <c r="F392"/>
      <c r="G392"/>
      <c r="H392"/>
    </row>
    <row r="393" spans="2:8" x14ac:dyDescent="0.25">
      <c r="B393"/>
      <c r="C393"/>
      <c r="D393"/>
      <c r="E393"/>
      <c r="F393"/>
      <c r="G393"/>
      <c r="H393"/>
    </row>
    <row r="394" spans="2:8" x14ac:dyDescent="0.25">
      <c r="B394"/>
      <c r="C394"/>
      <c r="D394"/>
      <c r="E394"/>
      <c r="F394"/>
      <c r="G394"/>
      <c r="H394"/>
    </row>
    <row r="395" spans="2:8" x14ac:dyDescent="0.25">
      <c r="B395"/>
      <c r="C395"/>
      <c r="D395"/>
      <c r="E395"/>
      <c r="F395"/>
      <c r="G395"/>
      <c r="H395"/>
    </row>
    <row r="396" spans="2:8" x14ac:dyDescent="0.25">
      <c r="B396"/>
      <c r="C396"/>
      <c r="D396"/>
      <c r="E396"/>
      <c r="F396"/>
      <c r="G396"/>
      <c r="H396"/>
    </row>
    <row r="397" spans="2:8" x14ac:dyDescent="0.25">
      <c r="B397"/>
      <c r="C397"/>
      <c r="D397"/>
      <c r="E397"/>
      <c r="F397"/>
      <c r="G397"/>
      <c r="H397"/>
    </row>
    <row r="398" spans="2:8" x14ac:dyDescent="0.25">
      <c r="B398"/>
      <c r="C398"/>
      <c r="D398"/>
      <c r="E398"/>
      <c r="F398"/>
      <c r="G398"/>
      <c r="H398"/>
    </row>
    <row r="399" spans="2:8" x14ac:dyDescent="0.25">
      <c r="B399"/>
      <c r="C399"/>
      <c r="D399"/>
      <c r="E399"/>
      <c r="F399"/>
      <c r="G399"/>
      <c r="H399"/>
    </row>
    <row r="400" spans="2:8" x14ac:dyDescent="0.25">
      <c r="B400"/>
      <c r="C400"/>
      <c r="D400"/>
      <c r="E400"/>
      <c r="F400"/>
      <c r="G400"/>
      <c r="H400"/>
    </row>
    <row r="401" spans="2:8" x14ac:dyDescent="0.25">
      <c r="B401"/>
      <c r="C401"/>
      <c r="D401"/>
      <c r="E401"/>
      <c r="F401"/>
      <c r="G401"/>
      <c r="H401"/>
    </row>
    <row r="402" spans="2:8" x14ac:dyDescent="0.25">
      <c r="B402"/>
      <c r="C402"/>
      <c r="D402"/>
      <c r="E402"/>
      <c r="F402"/>
      <c r="G402"/>
      <c r="H402"/>
    </row>
    <row r="403" spans="2:8" x14ac:dyDescent="0.25">
      <c r="B403"/>
      <c r="C403"/>
      <c r="D403"/>
      <c r="E403"/>
      <c r="F403"/>
      <c r="G403"/>
      <c r="H403"/>
    </row>
    <row r="404" spans="2:8" x14ac:dyDescent="0.25">
      <c r="B404"/>
      <c r="C404"/>
      <c r="D404"/>
      <c r="E404"/>
      <c r="F404"/>
      <c r="G404"/>
      <c r="H404"/>
    </row>
    <row r="405" spans="2:8" x14ac:dyDescent="0.25">
      <c r="B405"/>
      <c r="C405"/>
      <c r="D405"/>
      <c r="E405"/>
      <c r="F405"/>
      <c r="G405"/>
      <c r="H405"/>
    </row>
    <row r="406" spans="2:8" x14ac:dyDescent="0.25">
      <c r="B406"/>
      <c r="C406"/>
      <c r="D406"/>
      <c r="E406"/>
      <c r="F406"/>
      <c r="G406"/>
      <c r="H406"/>
    </row>
    <row r="407" spans="2:8" x14ac:dyDescent="0.25">
      <c r="B407"/>
      <c r="C407"/>
      <c r="D407"/>
      <c r="E407"/>
      <c r="F407"/>
      <c r="G407"/>
      <c r="H407"/>
    </row>
    <row r="408" spans="2:8" x14ac:dyDescent="0.25">
      <c r="B408"/>
      <c r="C408"/>
      <c r="D408"/>
      <c r="E408"/>
      <c r="F408"/>
      <c r="G408"/>
      <c r="H408"/>
    </row>
    <row r="409" spans="2:8" x14ac:dyDescent="0.25">
      <c r="B409"/>
      <c r="C409"/>
      <c r="D409"/>
      <c r="E409"/>
      <c r="F409"/>
      <c r="G409"/>
      <c r="H409"/>
    </row>
    <row r="410" spans="2:8" x14ac:dyDescent="0.25">
      <c r="B410"/>
      <c r="C410"/>
      <c r="D410"/>
      <c r="E410"/>
      <c r="F410"/>
      <c r="G410"/>
      <c r="H410"/>
    </row>
    <row r="411" spans="2:8" x14ac:dyDescent="0.25">
      <c r="B411"/>
      <c r="C411"/>
      <c r="D411"/>
      <c r="E411"/>
      <c r="F411"/>
      <c r="G411"/>
      <c r="H411"/>
    </row>
    <row r="412" spans="2:8" x14ac:dyDescent="0.25">
      <c r="B412"/>
      <c r="C412"/>
      <c r="D412"/>
      <c r="E412"/>
      <c r="F412"/>
      <c r="G412"/>
      <c r="H412"/>
    </row>
    <row r="413" spans="2:8" x14ac:dyDescent="0.25">
      <c r="B413"/>
      <c r="C413"/>
      <c r="D413"/>
      <c r="E413"/>
      <c r="F413"/>
      <c r="G413"/>
      <c r="H413"/>
    </row>
    <row r="414" spans="2:8" x14ac:dyDescent="0.25">
      <c r="B414"/>
      <c r="C414"/>
      <c r="D414"/>
      <c r="E414"/>
      <c r="F414"/>
      <c r="G414"/>
      <c r="H414"/>
    </row>
    <row r="415" spans="2:8" x14ac:dyDescent="0.25">
      <c r="B415"/>
      <c r="C415"/>
      <c r="D415"/>
      <c r="E415"/>
      <c r="F415"/>
      <c r="G415"/>
      <c r="H415"/>
    </row>
    <row r="416" spans="2:8" x14ac:dyDescent="0.25">
      <c r="B416"/>
      <c r="C416"/>
      <c r="D416"/>
      <c r="E416"/>
      <c r="F416"/>
      <c r="G416"/>
      <c r="H416"/>
    </row>
    <row r="417" spans="2:8" x14ac:dyDescent="0.25">
      <c r="B417"/>
      <c r="C417"/>
      <c r="D417"/>
      <c r="E417"/>
      <c r="F417"/>
      <c r="G417"/>
      <c r="H417"/>
    </row>
    <row r="418" spans="2:8" x14ac:dyDescent="0.25">
      <c r="B418"/>
      <c r="C418"/>
      <c r="D418"/>
      <c r="E418"/>
      <c r="F418"/>
      <c r="G418"/>
      <c r="H418"/>
    </row>
    <row r="419" spans="2:8" x14ac:dyDescent="0.25">
      <c r="B419"/>
      <c r="C419"/>
      <c r="D419"/>
      <c r="E419"/>
      <c r="F419"/>
      <c r="G419"/>
      <c r="H419"/>
    </row>
    <row r="420" spans="2:8" x14ac:dyDescent="0.25">
      <c r="B420"/>
      <c r="C420"/>
      <c r="D420"/>
      <c r="E420"/>
      <c r="F420"/>
      <c r="G420"/>
      <c r="H420"/>
    </row>
    <row r="421" spans="2:8" x14ac:dyDescent="0.25">
      <c r="B421"/>
      <c r="C421"/>
      <c r="D421"/>
      <c r="E421"/>
      <c r="F421"/>
      <c r="G421"/>
      <c r="H421"/>
    </row>
    <row r="422" spans="2:8" x14ac:dyDescent="0.25">
      <c r="B422"/>
      <c r="C422"/>
      <c r="D422"/>
      <c r="E422"/>
      <c r="F422"/>
      <c r="G422"/>
      <c r="H422"/>
    </row>
    <row r="423" spans="2:8" x14ac:dyDescent="0.25">
      <c r="B423"/>
      <c r="C423"/>
      <c r="D423"/>
      <c r="E423"/>
      <c r="F423"/>
      <c r="G423"/>
      <c r="H423"/>
    </row>
    <row r="424" spans="2:8" x14ac:dyDescent="0.25">
      <c r="B424"/>
      <c r="C424"/>
      <c r="D424"/>
      <c r="E424"/>
      <c r="F424"/>
      <c r="G424"/>
      <c r="H424"/>
    </row>
    <row r="425" spans="2:8" x14ac:dyDescent="0.25">
      <c r="B425"/>
      <c r="C425"/>
      <c r="D425"/>
      <c r="E425"/>
      <c r="F425"/>
      <c r="G425"/>
      <c r="H425"/>
    </row>
    <row r="426" spans="2:8" x14ac:dyDescent="0.25">
      <c r="B426"/>
      <c r="C426"/>
      <c r="D426"/>
      <c r="E426"/>
      <c r="F426"/>
      <c r="G426"/>
      <c r="H426"/>
    </row>
    <row r="427" spans="2:8" x14ac:dyDescent="0.25">
      <c r="B427"/>
      <c r="C427"/>
      <c r="D427"/>
      <c r="E427"/>
      <c r="F427"/>
      <c r="G427"/>
      <c r="H427"/>
    </row>
    <row r="428" spans="2:8" x14ac:dyDescent="0.25">
      <c r="B428"/>
      <c r="C428"/>
      <c r="D428"/>
      <c r="E428"/>
      <c r="F428"/>
      <c r="G428"/>
      <c r="H428"/>
    </row>
    <row r="429" spans="2:8" x14ac:dyDescent="0.25">
      <c r="B429"/>
      <c r="C429"/>
      <c r="D429"/>
      <c r="E429"/>
      <c r="F429"/>
      <c r="G429"/>
      <c r="H429"/>
    </row>
    <row r="430" spans="2:8" x14ac:dyDescent="0.25">
      <c r="B430"/>
      <c r="C430"/>
      <c r="D430"/>
      <c r="E430"/>
      <c r="F430"/>
      <c r="G430"/>
      <c r="H430"/>
    </row>
    <row r="431" spans="2:8" x14ac:dyDescent="0.25">
      <c r="B431"/>
      <c r="C431"/>
      <c r="D431"/>
      <c r="E431"/>
      <c r="F431"/>
      <c r="G431"/>
      <c r="H431"/>
    </row>
    <row r="432" spans="2:8" x14ac:dyDescent="0.25">
      <c r="B432"/>
      <c r="C432"/>
      <c r="D432"/>
      <c r="E432"/>
      <c r="F432"/>
      <c r="G432"/>
      <c r="H432"/>
    </row>
    <row r="433" spans="2:8" x14ac:dyDescent="0.25">
      <c r="B433"/>
      <c r="C433"/>
      <c r="D433"/>
      <c r="E433"/>
      <c r="F433"/>
      <c r="G433"/>
      <c r="H433"/>
    </row>
    <row r="434" spans="2:8" x14ac:dyDescent="0.25">
      <c r="B434"/>
      <c r="C434"/>
      <c r="D434"/>
      <c r="E434"/>
      <c r="F434"/>
      <c r="G434"/>
      <c r="H434"/>
    </row>
    <row r="435" spans="2:8" x14ac:dyDescent="0.25">
      <c r="B435"/>
      <c r="C435"/>
      <c r="D435"/>
      <c r="E435"/>
      <c r="F435"/>
      <c r="G435"/>
      <c r="H435"/>
    </row>
    <row r="436" spans="2:8" x14ac:dyDescent="0.25">
      <c r="B436"/>
      <c r="C436"/>
      <c r="D436"/>
      <c r="E436"/>
      <c r="F436"/>
      <c r="G436"/>
      <c r="H436"/>
    </row>
    <row r="437" spans="2:8" x14ac:dyDescent="0.25">
      <c r="B437"/>
      <c r="C437"/>
      <c r="D437"/>
      <c r="E437"/>
      <c r="F437"/>
      <c r="G437"/>
      <c r="H437"/>
    </row>
    <row r="438" spans="2:8" x14ac:dyDescent="0.25">
      <c r="B438"/>
      <c r="C438"/>
      <c r="D438"/>
      <c r="E438"/>
      <c r="F438"/>
      <c r="G438"/>
      <c r="H438"/>
    </row>
    <row r="439" spans="2:8" x14ac:dyDescent="0.25">
      <c r="B439"/>
      <c r="C439"/>
      <c r="D439"/>
      <c r="E439"/>
      <c r="F439"/>
      <c r="G439"/>
      <c r="H439"/>
    </row>
    <row r="440" spans="2:8" x14ac:dyDescent="0.25">
      <c r="B440"/>
      <c r="C440"/>
      <c r="D440"/>
      <c r="E440"/>
      <c r="F440"/>
      <c r="G440"/>
      <c r="H440"/>
    </row>
    <row r="441" spans="2:8" x14ac:dyDescent="0.25">
      <c r="B441"/>
      <c r="C441"/>
      <c r="D441"/>
      <c r="E441"/>
      <c r="F441"/>
      <c r="G441"/>
      <c r="H441"/>
    </row>
    <row r="442" spans="2:8" x14ac:dyDescent="0.25">
      <c r="B442"/>
      <c r="C442"/>
      <c r="D442"/>
      <c r="E442"/>
      <c r="F442"/>
      <c r="G442"/>
      <c r="H442"/>
    </row>
    <row r="443" spans="2:8" x14ac:dyDescent="0.25">
      <c r="B443"/>
      <c r="C443"/>
      <c r="D443"/>
      <c r="E443"/>
      <c r="F443"/>
      <c r="G443"/>
      <c r="H443"/>
    </row>
    <row r="444" spans="2:8" x14ac:dyDescent="0.25">
      <c r="B444"/>
      <c r="C444"/>
      <c r="D444"/>
      <c r="E444"/>
      <c r="F444"/>
      <c r="G444"/>
      <c r="H444"/>
    </row>
    <row r="445" spans="2:8" x14ac:dyDescent="0.25">
      <c r="B445"/>
      <c r="C445"/>
      <c r="D445"/>
      <c r="E445"/>
      <c r="F445"/>
      <c r="G445"/>
      <c r="H445"/>
    </row>
    <row r="446" spans="2:8" x14ac:dyDescent="0.25">
      <c r="B446"/>
      <c r="C446"/>
      <c r="D446"/>
      <c r="E446"/>
      <c r="F446"/>
      <c r="G446"/>
      <c r="H446"/>
    </row>
    <row r="447" spans="2:8" x14ac:dyDescent="0.25">
      <c r="B447"/>
      <c r="C447"/>
      <c r="D447"/>
      <c r="E447"/>
      <c r="F447"/>
      <c r="G447"/>
      <c r="H447"/>
    </row>
    <row r="448" spans="2:8" x14ac:dyDescent="0.25">
      <c r="B448"/>
      <c r="C448"/>
      <c r="D448"/>
      <c r="E448"/>
      <c r="F448"/>
      <c r="G448"/>
      <c r="H448"/>
    </row>
    <row r="449" spans="2:8" x14ac:dyDescent="0.25">
      <c r="B449"/>
      <c r="C449"/>
      <c r="D449"/>
      <c r="E449"/>
      <c r="F449"/>
      <c r="G449"/>
      <c r="H449"/>
    </row>
    <row r="450" spans="2:8" x14ac:dyDescent="0.25">
      <c r="B450"/>
      <c r="C450"/>
      <c r="D450"/>
      <c r="E450"/>
      <c r="F450"/>
      <c r="G450"/>
      <c r="H450"/>
    </row>
    <row r="451" spans="2:8" x14ac:dyDescent="0.25">
      <c r="B451"/>
      <c r="C451"/>
      <c r="D451"/>
      <c r="E451"/>
      <c r="F451"/>
      <c r="G451"/>
      <c r="H451"/>
    </row>
    <row r="452" spans="2:8" x14ac:dyDescent="0.25">
      <c r="B452"/>
      <c r="C452"/>
      <c r="D452"/>
      <c r="E452"/>
      <c r="F452"/>
      <c r="G452"/>
      <c r="H452"/>
    </row>
    <row r="453" spans="2:8" x14ac:dyDescent="0.25">
      <c r="B453"/>
      <c r="C453"/>
      <c r="D453"/>
      <c r="E453"/>
      <c r="F453"/>
      <c r="G453"/>
      <c r="H453"/>
    </row>
    <row r="454" spans="2:8" x14ac:dyDescent="0.25">
      <c r="B454"/>
      <c r="C454"/>
      <c r="D454"/>
      <c r="E454"/>
      <c r="F454"/>
      <c r="G454"/>
      <c r="H454"/>
    </row>
    <row r="455" spans="2:8" x14ac:dyDescent="0.25">
      <c r="B455"/>
      <c r="C455"/>
      <c r="D455"/>
      <c r="E455"/>
      <c r="F455"/>
      <c r="G455"/>
      <c r="H455"/>
    </row>
    <row r="456" spans="2:8" x14ac:dyDescent="0.25">
      <c r="B456"/>
      <c r="C456"/>
      <c r="D456"/>
      <c r="E456"/>
      <c r="F456"/>
      <c r="G456"/>
      <c r="H456"/>
    </row>
    <row r="457" spans="2:8" x14ac:dyDescent="0.25">
      <c r="B457"/>
      <c r="C457"/>
      <c r="D457"/>
      <c r="E457"/>
      <c r="F457"/>
      <c r="G457"/>
      <c r="H457"/>
    </row>
    <row r="458" spans="2:8" x14ac:dyDescent="0.25">
      <c r="B458"/>
      <c r="C458"/>
      <c r="D458"/>
      <c r="E458"/>
      <c r="F458"/>
      <c r="G458"/>
      <c r="H458"/>
    </row>
    <row r="459" spans="2:8" x14ac:dyDescent="0.25">
      <c r="B459"/>
      <c r="C459"/>
      <c r="D459"/>
      <c r="E459"/>
      <c r="F459"/>
      <c r="G459"/>
      <c r="H459"/>
    </row>
    <row r="460" spans="2:8" x14ac:dyDescent="0.25">
      <c r="B460"/>
      <c r="C460"/>
      <c r="D460"/>
      <c r="E460"/>
      <c r="F460"/>
      <c r="G460"/>
      <c r="H460"/>
    </row>
    <row r="461" spans="2:8" x14ac:dyDescent="0.25">
      <c r="B461"/>
      <c r="C461"/>
      <c r="D461"/>
      <c r="E461"/>
      <c r="F461"/>
      <c r="G461"/>
      <c r="H461"/>
    </row>
    <row r="462" spans="2:8" x14ac:dyDescent="0.25">
      <c r="B462"/>
      <c r="C462"/>
      <c r="D462"/>
      <c r="E462"/>
      <c r="F462"/>
      <c r="G462"/>
      <c r="H462"/>
    </row>
    <row r="463" spans="2:8" x14ac:dyDescent="0.25">
      <c r="B463"/>
      <c r="C463"/>
      <c r="D463"/>
      <c r="E463"/>
      <c r="F463"/>
      <c r="G463"/>
      <c r="H463"/>
    </row>
    <row r="464" spans="2:8" x14ac:dyDescent="0.25">
      <c r="B464"/>
      <c r="C464"/>
      <c r="D464"/>
      <c r="E464"/>
      <c r="F464"/>
      <c r="G464"/>
      <c r="H464"/>
    </row>
    <row r="465" spans="2:8" x14ac:dyDescent="0.25">
      <c r="B465"/>
      <c r="C465"/>
      <c r="D465"/>
      <c r="E465"/>
      <c r="F465"/>
      <c r="G465"/>
      <c r="H465"/>
    </row>
    <row r="466" spans="2:8" x14ac:dyDescent="0.25">
      <c r="B466"/>
      <c r="C466"/>
      <c r="D466"/>
      <c r="E466"/>
      <c r="F466"/>
      <c r="G466"/>
      <c r="H466"/>
    </row>
    <row r="467" spans="2:8" x14ac:dyDescent="0.25">
      <c r="B467"/>
      <c r="C467"/>
      <c r="D467"/>
      <c r="E467"/>
      <c r="F467"/>
      <c r="G467"/>
      <c r="H467"/>
    </row>
    <row r="468" spans="2:8" x14ac:dyDescent="0.25">
      <c r="B468"/>
      <c r="C468"/>
      <c r="D468"/>
      <c r="E468"/>
      <c r="F468"/>
      <c r="G468"/>
      <c r="H468"/>
    </row>
    <row r="469" spans="2:8" x14ac:dyDescent="0.25">
      <c r="B469"/>
      <c r="C469"/>
      <c r="D469"/>
      <c r="E469"/>
      <c r="F469"/>
      <c r="G469"/>
      <c r="H469"/>
    </row>
    <row r="470" spans="2:8" x14ac:dyDescent="0.25">
      <c r="B470"/>
      <c r="C470"/>
      <c r="D470"/>
      <c r="E470"/>
      <c r="F470"/>
      <c r="G470"/>
      <c r="H470"/>
    </row>
    <row r="471" spans="2:8" x14ac:dyDescent="0.25">
      <c r="B471"/>
      <c r="C471"/>
      <c r="D471"/>
      <c r="E471"/>
      <c r="F471"/>
      <c r="G471"/>
      <c r="H471"/>
    </row>
    <row r="472" spans="2:8" x14ac:dyDescent="0.25">
      <c r="B472"/>
      <c r="C472"/>
      <c r="D472"/>
      <c r="E472"/>
      <c r="F472"/>
      <c r="G472"/>
      <c r="H472"/>
    </row>
    <row r="473" spans="2:8" x14ac:dyDescent="0.25">
      <c r="B473"/>
      <c r="C473"/>
      <c r="D473"/>
      <c r="E473"/>
      <c r="F473"/>
      <c r="G473"/>
      <c r="H473"/>
    </row>
    <row r="474" spans="2:8" x14ac:dyDescent="0.25">
      <c r="B474"/>
      <c r="C474"/>
      <c r="D474"/>
      <c r="E474"/>
      <c r="F474"/>
      <c r="G474"/>
      <c r="H474"/>
    </row>
    <row r="475" spans="2:8" x14ac:dyDescent="0.25">
      <c r="B475"/>
      <c r="C475"/>
      <c r="D475"/>
      <c r="E475"/>
      <c r="F475"/>
      <c r="G475"/>
      <c r="H475"/>
    </row>
    <row r="476" spans="2:8" x14ac:dyDescent="0.25">
      <c r="B476"/>
      <c r="C476"/>
      <c r="D476"/>
      <c r="E476"/>
      <c r="F476"/>
      <c r="G476"/>
      <c r="H476"/>
    </row>
    <row r="477" spans="2:8" x14ac:dyDescent="0.25">
      <c r="B477"/>
      <c r="C477"/>
      <c r="D477"/>
      <c r="E477"/>
      <c r="F477"/>
      <c r="G477"/>
      <c r="H477"/>
    </row>
    <row r="478" spans="2:8" x14ac:dyDescent="0.25">
      <c r="B478"/>
      <c r="C478"/>
      <c r="D478"/>
      <c r="E478"/>
      <c r="F478"/>
      <c r="G478"/>
      <c r="H478"/>
    </row>
    <row r="479" spans="2:8" x14ac:dyDescent="0.25">
      <c r="B479"/>
      <c r="C479"/>
      <c r="D479"/>
      <c r="E479"/>
      <c r="F479"/>
      <c r="G479"/>
      <c r="H479"/>
    </row>
    <row r="480" spans="2:8" x14ac:dyDescent="0.25">
      <c r="B480"/>
      <c r="C480"/>
      <c r="D480"/>
      <c r="E480"/>
      <c r="F480"/>
      <c r="G480"/>
      <c r="H480"/>
    </row>
    <row r="481" spans="2:8" x14ac:dyDescent="0.25">
      <c r="B481"/>
      <c r="C481"/>
      <c r="D481"/>
      <c r="E481"/>
      <c r="F481"/>
      <c r="G481"/>
      <c r="H481"/>
    </row>
    <row r="482" spans="2:8" x14ac:dyDescent="0.25">
      <c r="B482"/>
      <c r="C482"/>
      <c r="D482"/>
      <c r="E482"/>
      <c r="F482"/>
      <c r="G482"/>
      <c r="H482"/>
    </row>
    <row r="483" spans="2:8" x14ac:dyDescent="0.25">
      <c r="B483"/>
      <c r="C483"/>
      <c r="D483"/>
      <c r="E483"/>
      <c r="F483"/>
      <c r="G483"/>
      <c r="H483"/>
    </row>
    <row r="484" spans="2:8" x14ac:dyDescent="0.25">
      <c r="B484"/>
      <c r="C484"/>
      <c r="D484"/>
      <c r="E484"/>
      <c r="F484"/>
      <c r="G484"/>
      <c r="H484"/>
    </row>
    <row r="485" spans="2:8" x14ac:dyDescent="0.25">
      <c r="B485"/>
      <c r="C485"/>
      <c r="D485"/>
      <c r="E485"/>
      <c r="F485"/>
      <c r="G485"/>
      <c r="H485"/>
    </row>
    <row r="486" spans="2:8" x14ac:dyDescent="0.25">
      <c r="B486"/>
      <c r="C486"/>
      <c r="D486"/>
      <c r="E486"/>
      <c r="F486"/>
      <c r="G486"/>
      <c r="H486"/>
    </row>
    <row r="487" spans="2:8" x14ac:dyDescent="0.25">
      <c r="B487"/>
      <c r="C487"/>
      <c r="D487"/>
      <c r="E487"/>
      <c r="F487"/>
      <c r="G487"/>
      <c r="H487"/>
    </row>
    <row r="488" spans="2:8" x14ac:dyDescent="0.25">
      <c r="B488"/>
      <c r="C488"/>
      <c r="D488"/>
      <c r="E488"/>
      <c r="F488"/>
      <c r="G488"/>
      <c r="H488"/>
    </row>
    <row r="489" spans="2:8" x14ac:dyDescent="0.25">
      <c r="B489"/>
      <c r="C489"/>
      <c r="D489"/>
      <c r="E489"/>
      <c r="F489"/>
      <c r="G489"/>
      <c r="H489"/>
    </row>
    <row r="490" spans="2:8" x14ac:dyDescent="0.25">
      <c r="B490"/>
      <c r="C490"/>
      <c r="D490"/>
      <c r="E490"/>
      <c r="F490"/>
      <c r="G490"/>
      <c r="H490"/>
    </row>
    <row r="491" spans="2:8" x14ac:dyDescent="0.25">
      <c r="B491"/>
      <c r="C491"/>
      <c r="D491"/>
      <c r="E491"/>
      <c r="F491"/>
      <c r="G491"/>
      <c r="H491"/>
    </row>
    <row r="492" spans="2:8" x14ac:dyDescent="0.25">
      <c r="B492"/>
      <c r="C492"/>
      <c r="D492"/>
      <c r="E492"/>
      <c r="F492"/>
      <c r="G492"/>
      <c r="H492"/>
    </row>
    <row r="493" spans="2:8" x14ac:dyDescent="0.25">
      <c r="B493"/>
      <c r="C493"/>
      <c r="D493"/>
      <c r="E493"/>
      <c r="F493"/>
      <c r="G493"/>
      <c r="H493"/>
    </row>
    <row r="494" spans="2:8" x14ac:dyDescent="0.25">
      <c r="B494"/>
      <c r="C494"/>
      <c r="D494"/>
      <c r="E494"/>
      <c r="F494"/>
      <c r="G494"/>
      <c r="H494"/>
    </row>
    <row r="495" spans="2:8" x14ac:dyDescent="0.25">
      <c r="B495"/>
      <c r="C495"/>
      <c r="D495"/>
      <c r="E495"/>
      <c r="F495"/>
      <c r="G495"/>
      <c r="H495"/>
    </row>
    <row r="496" spans="2:8" x14ac:dyDescent="0.25">
      <c r="B496"/>
      <c r="C496"/>
      <c r="D496"/>
      <c r="E496"/>
      <c r="F496"/>
      <c r="G496"/>
      <c r="H496"/>
    </row>
    <row r="497" spans="2:8" x14ac:dyDescent="0.25">
      <c r="B497"/>
      <c r="C497"/>
      <c r="D497"/>
      <c r="E497"/>
      <c r="F497"/>
      <c r="G497"/>
      <c r="H497"/>
    </row>
    <row r="498" spans="2:8" x14ac:dyDescent="0.25">
      <c r="B498"/>
      <c r="C498"/>
      <c r="D498"/>
      <c r="E498"/>
      <c r="F498"/>
      <c r="G498"/>
      <c r="H498"/>
    </row>
    <row r="499" spans="2:8" x14ac:dyDescent="0.25">
      <c r="B499"/>
      <c r="C499"/>
      <c r="D499"/>
      <c r="E499"/>
      <c r="F499"/>
      <c r="G499"/>
      <c r="H499"/>
    </row>
    <row r="500" spans="2:8" x14ac:dyDescent="0.25">
      <c r="B500"/>
      <c r="C500"/>
      <c r="D500"/>
      <c r="E500"/>
      <c r="F500"/>
      <c r="G500"/>
      <c r="H500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4DB0A-7A4A-41C6-AE74-19484E0DC604}">
  <sheetPr codeName="Feuil5">
    <tabColor rgb="FFFF0000"/>
  </sheetPr>
  <dimension ref="A1:S50"/>
  <sheetViews>
    <sheetView workbookViewId="0">
      <selection activeCell="B1" sqref="B1:B1048576"/>
    </sheetView>
  </sheetViews>
  <sheetFormatPr baseColWidth="10" defaultRowHeight="15" x14ac:dyDescent="0.25"/>
  <cols>
    <col min="2" max="2" width="44.140625" bestFit="1" customWidth="1"/>
  </cols>
  <sheetData>
    <row r="1" spans="1:19" x14ac:dyDescent="0.25">
      <c r="A1" t="s">
        <v>1</v>
      </c>
      <c r="B1" t="s">
        <v>0</v>
      </c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spans="1:19" x14ac:dyDescent="0.25">
      <c r="A2" t="str">
        <f>IFERROR(VLOOKUP(B2,Nom!B:C,2,0),"")</f>
        <v>Client_1</v>
      </c>
      <c r="B2" t="s">
        <v>100</v>
      </c>
      <c r="C2">
        <f>IFERROR(MATCH(B2,Conv_export!D:D,0),"")</f>
        <v>2</v>
      </c>
      <c r="D2" s="15">
        <f>IF(ISBLANK(B2),"",IF(ISBLANK(B3),(1+COUNTIF(Conv_export!D:D,"&lt;&gt;")),C3-1))</f>
        <v>6</v>
      </c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</row>
    <row r="3" spans="1:19" x14ac:dyDescent="0.25">
      <c r="A3" s="14" t="str">
        <f>IFERROR(VLOOKUP(B3,Nom!B:C,2,0),"")</f>
        <v>Client_10</v>
      </c>
      <c r="B3" t="s">
        <v>128</v>
      </c>
      <c r="C3">
        <f>IFERROR(MATCH(B3,Conv_export!D:D,0),"")</f>
        <v>7</v>
      </c>
      <c r="D3" s="15">
        <f>IF(ISBLANK(B3),"",IF(ISBLANK(B4),(1+COUNTIF(Conv_export!D:D,"&lt;&gt;")),C4-1))</f>
        <v>10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</row>
    <row r="4" spans="1:19" x14ac:dyDescent="0.25">
      <c r="A4" s="14" t="str">
        <f>IFERROR(VLOOKUP(B4,Nom!B:C,2,0),"")</f>
        <v>Client_11</v>
      </c>
      <c r="B4" t="s">
        <v>139</v>
      </c>
      <c r="C4">
        <f>IFERROR(MATCH(B4,Conv_export!D:D,0),"")</f>
        <v>11</v>
      </c>
      <c r="D4" s="15">
        <f>IF(ISBLANK(B4),"",IF(ISBLANK(B5),(1+COUNTIF(Conv_export!D:D,"&lt;&gt;")),C5-1))</f>
        <v>13</v>
      </c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</row>
    <row r="5" spans="1:19" x14ac:dyDescent="0.25">
      <c r="A5" s="14" t="str">
        <f>IFERROR(VLOOKUP(B5,Nom!B:C,2,0),"")</f>
        <v>Client_2</v>
      </c>
      <c r="B5" t="s">
        <v>103</v>
      </c>
      <c r="C5">
        <f>IFERROR(MATCH(B5,Conv_export!D:D,0),"")</f>
        <v>14</v>
      </c>
      <c r="D5" s="15">
        <f>IF(ISBLANK(B5),"",IF(ISBLANK(B6),(1+COUNTIF(Conv_export!D:D,"&lt;&gt;")),C6-1))</f>
        <v>16</v>
      </c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</row>
    <row r="6" spans="1:19" x14ac:dyDescent="0.25">
      <c r="A6" s="14" t="str">
        <f>IFERROR(VLOOKUP(B6,Nom!B:C,2,0),"")</f>
        <v>Client_3</v>
      </c>
      <c r="B6" t="s">
        <v>107</v>
      </c>
      <c r="C6">
        <f>IFERROR(MATCH(B6,Conv_export!D:D,0),"")</f>
        <v>17</v>
      </c>
      <c r="D6" s="15">
        <f>IF(ISBLANK(B6),"",IF(ISBLANK(B7),(1+COUNTIF(Conv_export!D:D,"&lt;&gt;")),C7-1))</f>
        <v>24</v>
      </c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</row>
    <row r="7" spans="1:19" x14ac:dyDescent="0.25">
      <c r="A7" s="14" t="str">
        <f>IFERROR(VLOOKUP(B7,Nom!B:C,2,0),"")</f>
        <v>Client_4</v>
      </c>
      <c r="B7" t="s">
        <v>109</v>
      </c>
      <c r="C7">
        <f>IFERROR(MATCH(B7,Conv_export!D:D,0),"")</f>
        <v>25</v>
      </c>
      <c r="D7" s="15">
        <f>IF(ISBLANK(B7),"",IF(ISBLANK(B8),(1+COUNTIF(Conv_export!D:D,"&lt;&gt;")),C8-1))</f>
        <v>27</v>
      </c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</row>
    <row r="8" spans="1:19" x14ac:dyDescent="0.25">
      <c r="A8" s="14" t="str">
        <f>IFERROR(VLOOKUP(B8,Nom!B:C,2,0),"")</f>
        <v>Client_5</v>
      </c>
      <c r="B8" t="s">
        <v>112</v>
      </c>
      <c r="C8">
        <f>IFERROR(MATCH(B8,Conv_export!D:D,0),"")</f>
        <v>28</v>
      </c>
      <c r="D8" s="15">
        <f>IF(ISBLANK(B8),"",IF(ISBLANK(B9),(1+COUNTIF(Conv_export!D:D,"&lt;&gt;")),C9-1))</f>
        <v>30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</row>
    <row r="9" spans="1:19" x14ac:dyDescent="0.25">
      <c r="A9" s="14" t="str">
        <f>IFERROR(VLOOKUP(B9,Nom!B:C,2,0),"")</f>
        <v>Client_6</v>
      </c>
      <c r="B9" t="s">
        <v>116</v>
      </c>
      <c r="C9">
        <f>IFERROR(MATCH(B9,Conv_export!D:D,0),"")</f>
        <v>31</v>
      </c>
      <c r="D9" s="15">
        <f>IF(ISBLANK(B9),"",IF(ISBLANK(B10),(1+COUNTIF(Conv_export!D:D,"&lt;&gt;")),C10-1))</f>
        <v>34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</row>
    <row r="10" spans="1:19" x14ac:dyDescent="0.25">
      <c r="A10" s="14" t="str">
        <f>IFERROR(VLOOKUP(B10,Nom!B:C,2,0),"")</f>
        <v>Client_7</v>
      </c>
      <c r="B10" t="s">
        <v>120</v>
      </c>
      <c r="C10">
        <f>IFERROR(MATCH(B10,Conv_export!D:D,0),"")</f>
        <v>35</v>
      </c>
      <c r="D10" s="15">
        <f>IF(ISBLANK(B10),"",IF(ISBLANK(B11),(1+COUNTIF(Conv_export!D:D,"&lt;&gt;")),C11-1))</f>
        <v>39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</row>
    <row r="11" spans="1:19" x14ac:dyDescent="0.25">
      <c r="A11" s="14" t="str">
        <f>IFERROR(VLOOKUP(B11,Nom!B:C,2,0),"")</f>
        <v>Client_8</v>
      </c>
      <c r="B11" t="s">
        <v>122</v>
      </c>
      <c r="C11">
        <f>IFERROR(MATCH(B11,Conv_export!D:D,0),"")</f>
        <v>40</v>
      </c>
      <c r="D11" s="15">
        <f>IF(ISBLANK(B11),"",IF(ISBLANK(B12),(1+COUNTIF(Conv_export!D:D,"&lt;&gt;")),C12-1))</f>
        <v>43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</row>
    <row r="12" spans="1:19" x14ac:dyDescent="0.25">
      <c r="A12" s="14" t="str">
        <f>IFERROR(VLOOKUP(B12,Nom!B:C,2,0),"")</f>
        <v>Client_9</v>
      </c>
      <c r="B12" t="s">
        <v>126</v>
      </c>
      <c r="C12">
        <f>IFERROR(MATCH(B12,Conv_export!D:D,0),"")</f>
        <v>44</v>
      </c>
      <c r="D12" s="15">
        <f>IF(ISBLANK(B12),"",IF(ISBLANK(B13),(1+COUNTIF(Conv_export!D:D,"&lt;&gt;")),C13-1))</f>
        <v>48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</row>
    <row r="13" spans="1:19" x14ac:dyDescent="0.25">
      <c r="A13" s="14" t="str">
        <f>IFERROR(VLOOKUP(B13,Nom!B:C,2,0),"")</f>
        <v/>
      </c>
      <c r="C13" t="str">
        <f>IFERROR(MATCH(B13,Conv_export!D:D,0),"")</f>
        <v/>
      </c>
      <c r="D13" s="15" t="str">
        <f>IF(ISBLANK(B13),"",IF(ISBLANK(B14),(1+COUNTIF(Conv_export!D:D,"&lt;&gt;")),C14-1))</f>
        <v/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</row>
    <row r="14" spans="1:19" x14ac:dyDescent="0.25">
      <c r="A14" s="14" t="str">
        <f>IFERROR(VLOOKUP(B14,Nom!B:C,2,0),"")</f>
        <v/>
      </c>
      <c r="C14" t="str">
        <f>IFERROR(MATCH(B14,Conv_export!D:D,0),"")</f>
        <v/>
      </c>
      <c r="D14" s="15" t="str">
        <f>IF(ISBLANK(B14),"",IF(ISBLANK(B15),(1+COUNTIF(Conv_export!D:D,"&lt;&gt;")),C15-1))</f>
        <v/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</row>
    <row r="15" spans="1:19" x14ac:dyDescent="0.25">
      <c r="A15" t="str">
        <f>IFERROR(VLOOKUP(B15,Nom!B:C,2,0),"")</f>
        <v/>
      </c>
      <c r="C15" t="str">
        <f>IFERROR(MATCH(B15,Conv_export!D:D,0),"")</f>
        <v/>
      </c>
      <c r="D15" s="15" t="str">
        <f>IF(ISBLANK(B15),"",IF(ISBLANK(B16),(1+COUNTIF(Conv_export!D:D,"&lt;&gt;")),C16-1))</f>
        <v/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</row>
    <row r="16" spans="1:19" x14ac:dyDescent="0.25">
      <c r="A16" t="str">
        <f>IFERROR(VLOOKUP(B16,Nom!B:C,2,0),"")</f>
        <v/>
      </c>
      <c r="C16" t="str">
        <f>IFERROR(MATCH(B16,Conv_export!D:D,0),"")</f>
        <v/>
      </c>
      <c r="D16" s="15" t="str">
        <f>IF(ISBLANK(B16),"",IF(ISBLANK(B17),(1+COUNTIF(Conv_export!D:D,"&lt;&gt;")),C17-1))</f>
        <v/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</row>
    <row r="17" spans="1:19" x14ac:dyDescent="0.25">
      <c r="A17" t="str">
        <f>IFERROR(VLOOKUP(B17,Nom!B:C,2,0),"")</f>
        <v/>
      </c>
      <c r="C17" t="str">
        <f>IFERROR(MATCH(B17,Conv_export!D:D,0),"")</f>
        <v/>
      </c>
      <c r="D17" s="15" t="str">
        <f>IF(ISBLANK(B17),"",IF(ISBLANK(B18),(1+COUNTIF(Conv_export!D:D,"&lt;&gt;")),C18-1))</f>
        <v/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</row>
    <row r="18" spans="1:19" x14ac:dyDescent="0.25">
      <c r="A18" t="str">
        <f>IFERROR(VLOOKUP(B18,Nom!B:C,2,0),"")</f>
        <v/>
      </c>
      <c r="C18" t="str">
        <f>IFERROR(MATCH(B18,Conv_export!D:D,0),"")</f>
        <v/>
      </c>
      <c r="D18" s="15" t="str">
        <f>IF(ISBLANK(B18),"",IF(ISBLANK(B19),(1+COUNTIF(Conv_export!D:D,"&lt;&gt;")),C19-1))</f>
        <v/>
      </c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</row>
    <row r="19" spans="1:19" x14ac:dyDescent="0.25">
      <c r="A19" t="str">
        <f>IFERROR(VLOOKUP(B19,Nom!B:C,2,0),"")</f>
        <v/>
      </c>
      <c r="C19" t="str">
        <f>IFERROR(MATCH(B19,Conv_export!D:D,0),"")</f>
        <v/>
      </c>
      <c r="D19" s="15" t="str">
        <f>IF(ISBLANK(B19),"",IF(ISBLANK(B20),(1+COUNTIF(Conv_export!D:D,"&lt;&gt;")),C20-1))</f>
        <v/>
      </c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</row>
    <row r="20" spans="1:19" x14ac:dyDescent="0.25">
      <c r="A20" t="str">
        <f>IFERROR(VLOOKUP(B20,Nom!B:C,2,0),"")</f>
        <v/>
      </c>
      <c r="C20" t="str">
        <f>IFERROR(MATCH(B20,Conv_export!D:D,0),"")</f>
        <v/>
      </c>
      <c r="D20" s="15" t="str">
        <f>IF(ISBLANK(B20),"",IF(ISBLANK(B21),(1+COUNTIF(Conv_export!D:D,"&lt;&gt;")),C21-1))</f>
        <v/>
      </c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</row>
    <row r="21" spans="1:19" x14ac:dyDescent="0.25">
      <c r="A21" t="str">
        <f>IFERROR(VLOOKUP(B21,Nom!B:C,2,0),"")</f>
        <v/>
      </c>
      <c r="C21" t="str">
        <f>IFERROR(MATCH(B21,Conv_export!D:D,0),"")</f>
        <v/>
      </c>
      <c r="D21" s="15" t="str">
        <f>IF(ISBLANK(B21),"",IF(ISBLANK(B22),(1+COUNTIF(Conv_export!D:D,"&lt;&gt;")),C22-1))</f>
        <v/>
      </c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</row>
    <row r="22" spans="1:19" x14ac:dyDescent="0.25">
      <c r="A22" t="str">
        <f>IFERROR(VLOOKUP(B22,Nom!B:C,2,0),"")</f>
        <v/>
      </c>
      <c r="C22" t="str">
        <f>IFERROR(MATCH(B22,Conv_export!D:D,0),"")</f>
        <v/>
      </c>
      <c r="D22" s="15" t="str">
        <f>IF(ISBLANK(B22),"",IF(ISBLANK(B23),(1+COUNTIF(Conv_export!D:D,"&lt;&gt;")),C23-1))</f>
        <v/>
      </c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</row>
    <row r="23" spans="1:19" x14ac:dyDescent="0.25">
      <c r="A23" t="str">
        <f>IFERROR(VLOOKUP(B23,Nom!B:C,2,0),"")</f>
        <v/>
      </c>
      <c r="C23" t="str">
        <f>IFERROR(MATCH(B23,Conv_export!D:D,0),"")</f>
        <v/>
      </c>
      <c r="D23" s="15" t="str">
        <f>IF(ISBLANK(B23),"",IF(ISBLANK(B24),(1+COUNTIF(Conv_export!D:D,"&lt;&gt;")),C24-1))</f>
        <v/>
      </c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</row>
    <row r="24" spans="1:19" x14ac:dyDescent="0.25">
      <c r="A24" t="str">
        <f>IFERROR(VLOOKUP(B24,Nom!B:C,2,0),"")</f>
        <v/>
      </c>
      <c r="C24" t="str">
        <f>IFERROR(MATCH(B24,Conv_export!D:D,0),"")</f>
        <v/>
      </c>
      <c r="D24" s="15" t="str">
        <f>IF(ISBLANK(B24),"",IF(ISBLANK(B25),(1+COUNTIF(Conv_export!D:D,"&lt;&gt;")),C25-1))</f>
        <v/>
      </c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</row>
    <row r="25" spans="1:19" x14ac:dyDescent="0.25">
      <c r="A25" t="str">
        <f>IFERROR(VLOOKUP(B25,Nom!B:C,2,0),"")</f>
        <v/>
      </c>
      <c r="C25" t="str">
        <f>IFERROR(MATCH(B25,Conv_export!D:D,0),"")</f>
        <v/>
      </c>
      <c r="D25" s="15" t="str">
        <f>IF(ISBLANK(B25),"",IF(ISBLANK(B26),(1+COUNTIF(Conv_export!D:D,"&lt;&gt;")),C26-1))</f>
        <v/>
      </c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</row>
    <row r="26" spans="1:19" x14ac:dyDescent="0.25">
      <c r="A26" t="str">
        <f>IFERROR(VLOOKUP(B26,Nom!B:C,2,0),"")</f>
        <v/>
      </c>
      <c r="C26" t="str">
        <f>IFERROR(MATCH(B26,Conv_export!D:D,0),"")</f>
        <v/>
      </c>
      <c r="D26" s="15" t="str">
        <f>IF(ISBLANK(B26),"",IF(ISBLANK(B27),(1+COUNTIF(Conv_export!D:D,"&lt;&gt;")),C27-1))</f>
        <v/>
      </c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</row>
    <row r="27" spans="1:19" x14ac:dyDescent="0.25">
      <c r="A27" t="str">
        <f>IFERROR(VLOOKUP(B27,Nom!B:C,2,0),"")</f>
        <v/>
      </c>
      <c r="C27" t="str">
        <f>IFERROR(MATCH(B27,Export!#REF!,0),"")</f>
        <v/>
      </c>
      <c r="D27" s="15" t="str">
        <f>IF(ISBLANK(B27),"",IF(ISBLANK(B28),(1+COUNTIF(Conv_export!D:D,"&lt;&gt;")),C28-1))</f>
        <v/>
      </c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</row>
    <row r="28" spans="1:19" x14ac:dyDescent="0.25">
      <c r="A28" t="str">
        <f>IFERROR(VLOOKUP(B28,Nom!B:C,2,0),"")</f>
        <v/>
      </c>
      <c r="C28" t="str">
        <f>IFERROR(MATCH(B28,Export!#REF!,0),"")</f>
        <v/>
      </c>
      <c r="D28" s="15" t="str">
        <f>IF(ISBLANK(B28),"",IF(ISBLANK(B29),(1+COUNTIF(Conv_export!D:D,"&lt;&gt;")),C29-1))</f>
        <v/>
      </c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</row>
    <row r="29" spans="1:19" x14ac:dyDescent="0.25">
      <c r="A29" t="str">
        <f>IFERROR(VLOOKUP(B29,Nom!B:C,2,0),"")</f>
        <v/>
      </c>
      <c r="C29" t="str">
        <f>IFERROR(MATCH(B29,Export!#REF!,0),"")</f>
        <v/>
      </c>
      <c r="D29" s="15" t="str">
        <f>IF(ISBLANK(B29),"",IF(ISBLANK(B30),(1+COUNTIF(Conv_export!D:D,"&lt;&gt;")),C30-1))</f>
        <v/>
      </c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</row>
    <row r="30" spans="1:19" x14ac:dyDescent="0.25">
      <c r="A30" t="str">
        <f>IFERROR(VLOOKUP(B30,Nom!B:C,2,0),"")</f>
        <v/>
      </c>
      <c r="C30" t="str">
        <f>IFERROR(MATCH(B30,Export!#REF!,0),"")</f>
        <v/>
      </c>
      <c r="D30" s="15" t="str">
        <f>IF(ISBLANK(B30),"",IF(ISBLANK(B31),(1+COUNTIF(Conv_export!D:D,"&lt;&gt;")),C31-1))</f>
        <v/>
      </c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</row>
    <row r="31" spans="1:19" x14ac:dyDescent="0.25">
      <c r="A31" t="str">
        <f>IFERROR(VLOOKUP(B31,Nom!B:C,2,0),"")</f>
        <v/>
      </c>
      <c r="C31" t="str">
        <f>IFERROR(MATCH(B31,Export!#REF!,0),"")</f>
        <v/>
      </c>
      <c r="D31" s="15" t="str">
        <f>IF(ISBLANK(B31),"",IF(ISBLANK(B32),(1+COUNTIF(Conv_export!D:D,"&lt;&gt;")),C32-1))</f>
        <v/>
      </c>
      <c r="E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</row>
    <row r="32" spans="1:19" x14ac:dyDescent="0.25">
      <c r="A32" t="str">
        <f>IFERROR(VLOOKUP(B32,Nom!B:C,2,0),"")</f>
        <v/>
      </c>
      <c r="C32" t="str">
        <f>IFERROR(MATCH(B32,Export!#REF!,0),"")</f>
        <v/>
      </c>
      <c r="D32" s="15" t="str">
        <f>IF(ISBLANK(B32),"",IF(ISBLANK(B33),(1+COUNTIF(Conv_export!D:D,"&lt;&gt;")),C33-1))</f>
        <v/>
      </c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</row>
    <row r="33" spans="1:4" x14ac:dyDescent="0.25">
      <c r="A33" t="str">
        <f>IFERROR(VLOOKUP(B33,Nom!B:C,2,0),"")</f>
        <v/>
      </c>
      <c r="C33" t="str">
        <f>IFERROR(MATCH(B33,Export!#REF!,0),"")</f>
        <v/>
      </c>
      <c r="D33" s="15" t="str">
        <f>IF(ISBLANK(B33),"",IF(ISBLANK(B34),(1+COUNTIF(Conv_export!D:D,"&lt;&gt;")),C34-1))</f>
        <v/>
      </c>
    </row>
    <row r="34" spans="1:4" x14ac:dyDescent="0.25">
      <c r="A34" t="str">
        <f>IFERROR(VLOOKUP(B34,Nom!B:C,2,0),"")</f>
        <v/>
      </c>
      <c r="C34" t="str">
        <f>IFERROR(MATCH(B34,Export!#REF!,0),"")</f>
        <v/>
      </c>
      <c r="D34" s="15" t="str">
        <f>IF(ISBLANK(B34),"",IF(ISBLANK(B35),(1+COUNTIF(Conv_export!D:D,"&lt;&gt;")),C35-1))</f>
        <v/>
      </c>
    </row>
    <row r="35" spans="1:4" x14ac:dyDescent="0.25">
      <c r="A35" t="str">
        <f>IFERROR(VLOOKUP(B35,Nom!B:C,2,0),"")</f>
        <v/>
      </c>
      <c r="C35" t="str">
        <f>IFERROR(MATCH(B35,Export!#REF!,0),"")</f>
        <v/>
      </c>
      <c r="D35" s="15" t="str">
        <f>IF(ISBLANK(B35),"",IF(ISBLANK(B36),(1+COUNTIF(Conv_export!D:D,"&lt;&gt;")),C36-1))</f>
        <v/>
      </c>
    </row>
    <row r="36" spans="1:4" x14ac:dyDescent="0.25">
      <c r="A36" t="str">
        <f>IFERROR(VLOOKUP(B36,Nom!B:C,2,0),"")</f>
        <v/>
      </c>
      <c r="C36" t="str">
        <f>IFERROR(MATCH(B36,Export!#REF!,0),"")</f>
        <v/>
      </c>
    </row>
    <row r="37" spans="1:4" x14ac:dyDescent="0.25">
      <c r="A37" t="str">
        <f>IFERROR(VLOOKUP(B37,Nom!B:C,2,0),"")</f>
        <v/>
      </c>
      <c r="C37" t="str">
        <f>IFERROR(MATCH(B37,Export!#REF!,0),"")</f>
        <v/>
      </c>
    </row>
    <row r="38" spans="1:4" x14ac:dyDescent="0.25">
      <c r="A38" t="str">
        <f>IFERROR(VLOOKUP(B38,Nom!B:C,2,0),"")</f>
        <v/>
      </c>
      <c r="C38" t="str">
        <f>IFERROR(MATCH(B38,Export!#REF!,0),"")</f>
        <v/>
      </c>
    </row>
    <row r="39" spans="1:4" x14ac:dyDescent="0.25">
      <c r="A39" t="str">
        <f>IFERROR(VLOOKUP(B39,Nom!B:C,2,0),"")</f>
        <v/>
      </c>
      <c r="C39" t="str">
        <f>IFERROR(MATCH(B39,Export!#REF!,0),"")</f>
        <v/>
      </c>
    </row>
    <row r="40" spans="1:4" x14ac:dyDescent="0.25">
      <c r="A40" t="str">
        <f>IFERROR(VLOOKUP(B40,Nom!B:C,2,0),"")</f>
        <v/>
      </c>
      <c r="C40" t="str">
        <f>IFERROR(MATCH(B40,Export!#REF!,0),"")</f>
        <v/>
      </c>
    </row>
    <row r="41" spans="1:4" x14ac:dyDescent="0.25">
      <c r="A41" t="str">
        <f>IFERROR(VLOOKUP(B41,Nom!B:C,2,0),"")</f>
        <v/>
      </c>
      <c r="C41" t="str">
        <f>IFERROR(MATCH(B41,Export!#REF!,0),"")</f>
        <v/>
      </c>
    </row>
    <row r="42" spans="1:4" x14ac:dyDescent="0.25">
      <c r="A42" t="str">
        <f>IFERROR(VLOOKUP(B42,Nom!B:C,2,0),"")</f>
        <v/>
      </c>
      <c r="C42" t="str">
        <f>IFERROR(MATCH(B42,Export!#REF!,0),"")</f>
        <v/>
      </c>
    </row>
    <row r="43" spans="1:4" x14ac:dyDescent="0.25">
      <c r="A43" t="str">
        <f>IFERROR(VLOOKUP(B43,Nom!B:C,2,0),"")</f>
        <v/>
      </c>
      <c r="C43" t="str">
        <f>IFERROR(MATCH(B43,Export!#REF!,0),"")</f>
        <v/>
      </c>
    </row>
    <row r="44" spans="1:4" x14ac:dyDescent="0.25">
      <c r="A44" t="str">
        <f>IFERROR(VLOOKUP(B44,Nom!B:C,2,0),"")</f>
        <v/>
      </c>
      <c r="C44" t="str">
        <f>IFERROR(MATCH(B44,Export!#REF!,0),"")</f>
        <v/>
      </c>
    </row>
    <row r="45" spans="1:4" x14ac:dyDescent="0.25">
      <c r="A45" t="str">
        <f>IFERROR(VLOOKUP(B45,Nom!B:C,2,0),"")</f>
        <v/>
      </c>
      <c r="C45" t="str">
        <f>IFERROR(MATCH(B45,Export!#REF!,0),"")</f>
        <v/>
      </c>
    </row>
    <row r="46" spans="1:4" x14ac:dyDescent="0.25">
      <c r="A46" t="str">
        <f>IFERROR(VLOOKUP(B46,Nom!B:C,2,0),"")</f>
        <v/>
      </c>
      <c r="C46" t="str">
        <f>IFERROR(MATCH(B46,Export!#REF!,0),"")</f>
        <v/>
      </c>
    </row>
    <row r="47" spans="1:4" x14ac:dyDescent="0.25">
      <c r="A47" t="str">
        <f>IFERROR(VLOOKUP(B47,Nom!B:C,2,0),"")</f>
        <v/>
      </c>
      <c r="C47" t="str">
        <f>IFERROR(MATCH(B47,Export!#REF!,0),"")</f>
        <v/>
      </c>
    </row>
    <row r="48" spans="1:4" x14ac:dyDescent="0.25">
      <c r="A48" t="str">
        <f>IFERROR(VLOOKUP(B48,Nom!B:C,2,0),"")</f>
        <v/>
      </c>
      <c r="C48" t="str">
        <f>IFERROR(MATCH(B48,Export!#REF!,0),"")</f>
        <v/>
      </c>
    </row>
    <row r="49" spans="1:3" x14ac:dyDescent="0.25">
      <c r="A49" t="str">
        <f>IFERROR(VLOOKUP(B49,Nom!B:C,2,0),"")</f>
        <v/>
      </c>
      <c r="C49" t="str">
        <f>IFERROR(MATCH(B49,Export!#REF!,0),"")</f>
        <v/>
      </c>
    </row>
    <row r="50" spans="1:3" x14ac:dyDescent="0.25">
      <c r="A50" t="str">
        <f>IFERROR(VLOOKUP(B50,Nom!B:C,2,0),"")</f>
        <v/>
      </c>
      <c r="C50" t="str">
        <f>IFERROR(MATCH(B50,Export!#REF!,0),"")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2C829-B9BE-4C62-8980-0500DEC05261}">
  <sheetPr codeName="Feuil79">
    <tabColor theme="4"/>
  </sheetPr>
  <dimension ref="A1:J38"/>
  <sheetViews>
    <sheetView tabSelected="1" workbookViewId="0">
      <selection activeCell="F27" sqref="F27"/>
    </sheetView>
  </sheetViews>
  <sheetFormatPr baseColWidth="10" defaultRowHeight="15" x14ac:dyDescent="0.25"/>
  <cols>
    <col min="1" max="1" width="21.5703125" bestFit="1" customWidth="1"/>
    <col min="2" max="2" width="5.42578125" customWidth="1"/>
    <col min="3" max="3" width="16.85546875" bestFit="1" customWidth="1"/>
  </cols>
  <sheetData>
    <row r="1" spans="1:10" ht="15.75" thickBot="1" x14ac:dyDescent="0.3"/>
    <row r="2" spans="1:10" ht="15.75" thickBot="1" x14ac:dyDescent="0.3">
      <c r="A2" s="6" t="s">
        <v>11</v>
      </c>
      <c r="C2" s="8" t="s">
        <v>12</v>
      </c>
    </row>
    <row r="3" spans="1:10" ht="15.75" thickBot="1" x14ac:dyDescent="0.3">
      <c r="A3" s="5" t="str">
        <f>Listing!A2</f>
        <v>Client_1</v>
      </c>
      <c r="C3" s="9">
        <f ca="1">TODAY()</f>
        <v>44599</v>
      </c>
      <c r="I3" s="11"/>
      <c r="J3" s="2"/>
    </row>
    <row r="4" spans="1:10" ht="15.75" thickBot="1" x14ac:dyDescent="0.3">
      <c r="A4" s="3" t="str">
        <f>Listing!A3</f>
        <v>Client_10</v>
      </c>
    </row>
    <row r="5" spans="1:10" x14ac:dyDescent="0.25">
      <c r="A5" s="3" t="str">
        <f>Listing!A4</f>
        <v>Client_11</v>
      </c>
      <c r="C5" s="8" t="s">
        <v>13</v>
      </c>
    </row>
    <row r="6" spans="1:10" ht="15.75" thickBot="1" x14ac:dyDescent="0.3">
      <c r="A6" s="3" t="str">
        <f>Listing!A5</f>
        <v>Client_2</v>
      </c>
      <c r="C6" s="12" t="s">
        <v>165</v>
      </c>
    </row>
    <row r="7" spans="1:10" ht="15.75" thickBot="1" x14ac:dyDescent="0.3">
      <c r="A7" s="3" t="str">
        <f>Listing!A6</f>
        <v>Client_3</v>
      </c>
      <c r="E7" s="15"/>
      <c r="I7" s="11"/>
    </row>
    <row r="8" spans="1:10" x14ac:dyDescent="0.25">
      <c r="A8" s="3" t="str">
        <f>Listing!A7</f>
        <v>Client_4</v>
      </c>
      <c r="C8" s="8" t="s">
        <v>14</v>
      </c>
      <c r="E8" s="15"/>
    </row>
    <row r="9" spans="1:10" ht="15.75" thickBot="1" x14ac:dyDescent="0.3">
      <c r="A9" s="3" t="str">
        <f>Listing!A8</f>
        <v>Client_5</v>
      </c>
      <c r="C9" s="12">
        <v>2021</v>
      </c>
      <c r="E9" s="15"/>
    </row>
    <row r="10" spans="1:10" ht="15.75" thickBot="1" x14ac:dyDescent="0.3">
      <c r="A10" s="3" t="str">
        <f>Listing!A9</f>
        <v>Client_6</v>
      </c>
    </row>
    <row r="11" spans="1:10" x14ac:dyDescent="0.25">
      <c r="A11" s="3" t="str">
        <f>Listing!A10</f>
        <v>Client_7</v>
      </c>
      <c r="C11" s="8" t="s">
        <v>19</v>
      </c>
      <c r="E11" s="8" t="s">
        <v>164</v>
      </c>
    </row>
    <row r="12" spans="1:10" ht="15.75" thickBot="1" x14ac:dyDescent="0.3">
      <c r="A12" s="3" t="str">
        <f>Listing!A11</f>
        <v>Client_8</v>
      </c>
      <c r="C12" s="16">
        <v>0.17</v>
      </c>
      <c r="E12" s="10">
        <f>SUM(Conv_export!K:K)</f>
        <v>1618</v>
      </c>
      <c r="I12" s="13"/>
    </row>
    <row r="13" spans="1:10" ht="15.75" thickBot="1" x14ac:dyDescent="0.3">
      <c r="A13" s="3" t="str">
        <f>Listing!A12</f>
        <v>Client_9</v>
      </c>
    </row>
    <row r="14" spans="1:10" x14ac:dyDescent="0.25">
      <c r="A14" s="3" t="str">
        <f>Listing!A13</f>
        <v/>
      </c>
      <c r="C14" s="8" t="s">
        <v>10</v>
      </c>
      <c r="E14" s="8" t="s">
        <v>15</v>
      </c>
      <c r="G14" s="8" t="s">
        <v>16</v>
      </c>
    </row>
    <row r="15" spans="1:10" ht="15.75" thickBot="1" x14ac:dyDescent="0.3">
      <c r="A15" s="3" t="str">
        <f>Listing!A14</f>
        <v/>
      </c>
      <c r="C15" s="10">
        <f>SUMIF(Conv_export!H:H,"&lt;0",Conv_export!H:H)*-1</f>
        <v>723.84999999999991</v>
      </c>
      <c r="E15" s="10">
        <f>SUMIF(Conv_export!H:H,"&gt;0",Conv_export!H:H)</f>
        <v>16018.96</v>
      </c>
      <c r="G15" s="10">
        <f>E15-C15</f>
        <v>15295.109999999999</v>
      </c>
    </row>
    <row r="16" spans="1:10" x14ac:dyDescent="0.25">
      <c r="A16" s="3" t="str">
        <f>Listing!A15</f>
        <v/>
      </c>
    </row>
    <row r="17" spans="1:1" x14ac:dyDescent="0.25">
      <c r="A17" s="3" t="str">
        <f>Listing!A16</f>
        <v/>
      </c>
    </row>
    <row r="18" spans="1:1" x14ac:dyDescent="0.25">
      <c r="A18" s="3" t="str">
        <f>Listing!A17</f>
        <v/>
      </c>
    </row>
    <row r="19" spans="1:1" x14ac:dyDescent="0.25">
      <c r="A19" s="3" t="str">
        <f>Listing!A18</f>
        <v/>
      </c>
    </row>
    <row r="20" spans="1:1" x14ac:dyDescent="0.25">
      <c r="A20" s="3" t="str">
        <f>Listing!A19</f>
        <v/>
      </c>
    </row>
    <row r="21" spans="1:1" x14ac:dyDescent="0.25">
      <c r="A21" s="3" t="str">
        <f>Listing!A20</f>
        <v/>
      </c>
    </row>
    <row r="22" spans="1:1" x14ac:dyDescent="0.25">
      <c r="A22" s="3" t="str">
        <f>Listing!A21</f>
        <v/>
      </c>
    </row>
    <row r="23" spans="1:1" x14ac:dyDescent="0.25">
      <c r="A23" s="3" t="str">
        <f>Listing!A22</f>
        <v/>
      </c>
    </row>
    <row r="24" spans="1:1" x14ac:dyDescent="0.25">
      <c r="A24" s="3" t="str">
        <f>Listing!A23</f>
        <v/>
      </c>
    </row>
    <row r="25" spans="1:1" x14ac:dyDescent="0.25">
      <c r="A25" s="3" t="str">
        <f>Listing!A24</f>
        <v/>
      </c>
    </row>
    <row r="26" spans="1:1" x14ac:dyDescent="0.25">
      <c r="A26" s="3" t="str">
        <f>Listing!A25</f>
        <v/>
      </c>
    </row>
    <row r="27" spans="1:1" ht="15.75" thickBot="1" x14ac:dyDescent="0.3">
      <c r="A27" s="4" t="str">
        <f>Listing!A26</f>
        <v/>
      </c>
    </row>
    <row r="28" spans="1:1" x14ac:dyDescent="0.25">
      <c r="A28" t="str">
        <f>Listing!A27</f>
        <v/>
      </c>
    </row>
    <row r="29" spans="1:1" x14ac:dyDescent="0.25">
      <c r="A29" t="str">
        <f>Listing!A28</f>
        <v/>
      </c>
    </row>
    <row r="30" spans="1:1" x14ac:dyDescent="0.25">
      <c r="A30" t="str">
        <f>Listing!A29</f>
        <v/>
      </c>
    </row>
    <row r="31" spans="1:1" x14ac:dyDescent="0.25">
      <c r="A31" t="str">
        <f>Listing!A30</f>
        <v/>
      </c>
    </row>
    <row r="32" spans="1:1" x14ac:dyDescent="0.25">
      <c r="A32" t="str">
        <f>Listing!A31</f>
        <v/>
      </c>
    </row>
    <row r="33" spans="1:1" x14ac:dyDescent="0.25">
      <c r="A33" t="str">
        <f>Listing!A32</f>
        <v/>
      </c>
    </row>
    <row r="34" spans="1:1" x14ac:dyDescent="0.25">
      <c r="A34" t="str">
        <f>Listing!A33</f>
        <v/>
      </c>
    </row>
    <row r="35" spans="1:1" x14ac:dyDescent="0.25">
      <c r="A35" t="str">
        <f>Listing!A34</f>
        <v/>
      </c>
    </row>
    <row r="36" spans="1:1" x14ac:dyDescent="0.25">
      <c r="A36" t="str">
        <f>Listing!A35</f>
        <v/>
      </c>
    </row>
    <row r="37" spans="1:1" x14ac:dyDescent="0.25">
      <c r="A37" t="str">
        <f>Listing!A36</f>
        <v/>
      </c>
    </row>
    <row r="38" spans="1:1" x14ac:dyDescent="0.25">
      <c r="A38" t="str">
        <f>Listing!A37</f>
        <v/>
      </c>
    </row>
  </sheetData>
  <phoneticPr fontId="18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_totale">
                <anchor moveWithCells="1" sizeWithCells="1">
                  <from>
                    <xdr:col>1</xdr:col>
                    <xdr:colOff>333375</xdr:colOff>
                    <xdr:row>16</xdr:row>
                    <xdr:rowOff>0</xdr:rowOff>
                  </from>
                  <to>
                    <xdr:col>2</xdr:col>
                    <xdr:colOff>1019175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Nom</vt:lpstr>
      <vt:lpstr>Export</vt:lpstr>
      <vt:lpstr>Conv_export</vt:lpstr>
      <vt:lpstr>Listing</vt:lpstr>
      <vt:lpstr>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Masson</dc:creator>
  <cp:lastModifiedBy>Pierre ANDREATTA</cp:lastModifiedBy>
  <dcterms:created xsi:type="dcterms:W3CDTF">2020-08-06T19:28:35Z</dcterms:created>
  <dcterms:modified xsi:type="dcterms:W3CDTF">2022-02-07T16:48:28Z</dcterms:modified>
</cp:coreProperties>
</file>